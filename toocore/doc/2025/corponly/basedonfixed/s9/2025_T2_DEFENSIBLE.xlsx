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" yWindow="192" windowWidth="15036" windowHeight="16272" tabRatio="600" firstSheet="1" activeTab="2" autoFilterDateGrouping="1"/>
  </bookViews>
  <sheets>
    <sheet name="Journal Entries" sheetId="1" state="visible" r:id="rId1"/>
    <sheet name="Trial Balance" sheetId="2" state="visible" r:id="rId2"/>
    <sheet name="Income Statement" sheetId="3" state="visible" r:id="rId3"/>
    <sheet name="Balance Sheet" sheetId="4" state="visible" r:id="rId4"/>
    <sheet name="GIFI Summa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2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4.4"/>
  <cols>
    <col width="6.6640625" customWidth="1" min="1" max="1"/>
    <col width="12.6640625" customWidth="1" min="2" max="2"/>
    <col width="46.6640625" customWidth="1" min="3" max="3"/>
    <col width="12.6640625" customWidth="1" min="4" max="5"/>
    <col width="32.6640625" customWidth="1" min="6" max="6"/>
    <col width="13.6640625" customWidth="1" min="7" max="7"/>
  </cols>
  <sheetData>
    <row r="1">
      <c r="A1" s="1" t="inlineStr">
        <is>
          <t>Entry</t>
        </is>
      </c>
      <c r="B1" s="1" t="inlineStr">
        <is>
          <t>Date</t>
        </is>
      </c>
      <c r="C1" s="1" t="inlineStr">
        <is>
          <t>Account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Memo</t>
        </is>
      </c>
      <c r="G1" s="1" t="inlineStr">
        <is>
          <t>Source</t>
        </is>
      </c>
    </row>
    <row r="2">
      <c r="A2" t="n">
        <v>1</v>
      </c>
      <c r="B2" t="inlineStr">
        <is>
          <t>2025-01-01</t>
        </is>
      </c>
      <c r="C2" t="inlineStr">
        <is>
          <t>TD Business Chequing (1000)</t>
        </is>
      </c>
      <c r="D2" s="2" t="n">
        <v>631.42</v>
      </c>
      <c r="F2" t="inlineStr">
        <is>
          <t>Opening balance</t>
        </is>
      </c>
      <c r="G2" t="inlineStr">
        <is>
          <t>2024 TB</t>
        </is>
      </c>
    </row>
    <row r="3">
      <c r="A3" t="n">
        <v>1</v>
      </c>
      <c r="B3" t="inlineStr">
        <is>
          <t>2025-01-01</t>
        </is>
      </c>
      <c r="C3" t="inlineStr">
        <is>
          <t>HST Recoverable (1200)</t>
        </is>
      </c>
      <c r="D3" s="2" t="n">
        <v>71.14</v>
      </c>
      <c r="F3" t="inlineStr">
        <is>
          <t>Opening balance</t>
        </is>
      </c>
      <c r="G3" t="inlineStr">
        <is>
          <t>2024 TB</t>
        </is>
      </c>
    </row>
    <row r="4">
      <c r="A4" t="n">
        <v>1</v>
      </c>
      <c r="B4" t="inlineStr">
        <is>
          <t>2025-01-01</t>
        </is>
      </c>
      <c r="C4" t="inlineStr">
        <is>
          <t>Computer Hardware (1741)</t>
        </is>
      </c>
      <c r="D4" s="2" t="n">
        <v>6380</v>
      </c>
      <c r="F4" t="inlineStr">
        <is>
          <t>Opening balance</t>
        </is>
      </c>
      <c r="G4" t="inlineStr">
        <is>
          <t>2024 TB</t>
        </is>
      </c>
    </row>
    <row r="5">
      <c r="A5" t="n">
        <v>1</v>
      </c>
      <c r="B5" t="inlineStr">
        <is>
          <t>2025-01-01</t>
        </is>
      </c>
      <c r="C5" t="inlineStr">
        <is>
          <t>Accumulated Depreciation (1742)</t>
        </is>
      </c>
      <c r="E5" s="2" t="n">
        <v>2420</v>
      </c>
      <c r="F5" t="inlineStr">
        <is>
          <t>Opening balance</t>
        </is>
      </c>
      <c r="G5" t="inlineStr">
        <is>
          <t>2024 TB</t>
        </is>
      </c>
    </row>
    <row r="6">
      <c r="A6" t="n">
        <v>1</v>
      </c>
      <c r="B6" t="inlineStr">
        <is>
          <t>2025-01-01</t>
        </is>
      </c>
      <c r="C6" t="inlineStr">
        <is>
          <t>HST Payable (2100)</t>
        </is>
      </c>
      <c r="E6" s="2" t="n">
        <v>2945.09</v>
      </c>
      <c r="F6" t="inlineStr">
        <is>
          <t>Opening balance</t>
        </is>
      </c>
      <c r="G6" t="inlineStr">
        <is>
          <t>2024 TB</t>
        </is>
      </c>
    </row>
    <row r="7">
      <c r="A7" t="n">
        <v>1</v>
      </c>
      <c r="B7" t="inlineStr">
        <is>
          <t>2025-01-01</t>
        </is>
      </c>
      <c r="C7" t="inlineStr">
        <is>
          <t>Shareholder Loan Payable (3640)</t>
        </is>
      </c>
      <c r="E7" s="2" t="n">
        <v>5730</v>
      </c>
      <c r="F7" t="inlineStr">
        <is>
          <t>Opening balance</t>
        </is>
      </c>
      <c r="G7" t="inlineStr">
        <is>
          <t>2024 TB</t>
        </is>
      </c>
    </row>
    <row r="8">
      <c r="A8" t="n">
        <v>1</v>
      </c>
      <c r="B8" t="inlineStr">
        <is>
          <t>2025-01-01</t>
        </is>
      </c>
      <c r="C8" t="inlineStr">
        <is>
          <t>Retained Earnings (3100)</t>
        </is>
      </c>
      <c r="D8" s="2" t="n">
        <v>4012.53</v>
      </c>
      <c r="F8" t="inlineStr">
        <is>
          <t>Opening balance</t>
        </is>
      </c>
      <c r="G8" t="inlineStr">
        <is>
          <t>2024 TB</t>
        </is>
      </c>
    </row>
    <row r="9">
      <c r="A9" t="n">
        <v>2</v>
      </c>
      <c r="B9" t="inlineStr">
        <is>
          <t>2025-12-31</t>
        </is>
      </c>
      <c r="C9" t="inlineStr">
        <is>
          <t>BMO Business Chequing (1010)</t>
        </is>
      </c>
      <c r="D9" s="2" t="n">
        <v>58224.77</v>
      </c>
      <c r="F9" t="inlineStr">
        <is>
          <t>Income received (DATAMOND+Uber)</t>
        </is>
      </c>
      <c r="G9" t="inlineStr">
        <is>
          <t>Bank</t>
        </is>
      </c>
    </row>
    <row r="10">
      <c r="A10" t="n">
        <v>2</v>
      </c>
      <c r="B10" t="inlineStr">
        <is>
          <t>2025-12-31</t>
        </is>
      </c>
      <c r="C10" t="inlineStr">
        <is>
          <t>Accounts Receivable (1100)</t>
        </is>
      </c>
      <c r="D10" s="2" t="n">
        <v>4746</v>
      </c>
      <c r="F10" t="inlineStr">
        <is>
          <t>DATAMOND invoiced 2025, paid 2026</t>
        </is>
      </c>
      <c r="G10" t="inlineStr">
        <is>
          <t>Invoices</t>
        </is>
      </c>
    </row>
    <row r="11">
      <c r="A11" t="n">
        <v>2</v>
      </c>
      <c r="B11" t="inlineStr">
        <is>
          <t>2025-12-31</t>
        </is>
      </c>
      <c r="C11" t="inlineStr">
        <is>
          <t>Corporate Income - Software Engineering (4300)</t>
        </is>
      </c>
      <c r="E11" s="2" t="n">
        <v>57729.34</v>
      </c>
      <c r="F11" t="inlineStr">
        <is>
          <t>Revenue incl Quick Method spread</t>
        </is>
      </c>
      <c r="G11" t="inlineStr">
        <is>
          <t>GST/Invoices</t>
        </is>
      </c>
    </row>
    <row r="12">
      <c r="A12" t="n">
        <v>2</v>
      </c>
      <c r="B12" t="inlineStr">
        <is>
          <t>2025-12-31</t>
        </is>
      </c>
      <c r="C12" t="inlineStr">
        <is>
          <t>HST Payable (2100)</t>
        </is>
      </c>
      <c r="E12" s="2" t="n">
        <v>5241.43</v>
      </c>
      <c r="F12" t="inlineStr">
        <is>
          <t>HST net remitted (Quick Method)</t>
        </is>
      </c>
      <c r="G12" t="inlineStr">
        <is>
          <t>GST</t>
        </is>
      </c>
    </row>
    <row r="13">
      <c r="A13" t="n">
        <v>3</v>
      </c>
      <c r="B13" t="inlineStr">
        <is>
          <t>2025-12-31</t>
        </is>
      </c>
      <c r="C13" t="inlineStr">
        <is>
          <t>BMO Business Chequing (1010)</t>
        </is>
      </c>
      <c r="D13" s="2" t="n">
        <v>450.83</v>
      </c>
      <c r="F13" t="inlineStr">
        <is>
          <t>Reimburse SH personal grocery</t>
        </is>
      </c>
      <c r="G13" t="inlineStr">
        <is>
          <t>Bank</t>
        </is>
      </c>
    </row>
    <row r="14">
      <c r="A14" t="n">
        <v>3</v>
      </c>
      <c r="B14" t="inlineStr">
        <is>
          <t>2025-12-31</t>
        </is>
      </c>
      <c r="C14" t="inlineStr">
        <is>
          <t>Shareholder Loan Payable (3640)</t>
        </is>
      </c>
      <c r="E14" s="2" t="n">
        <v>450.83</v>
      </c>
      <c r="F14" t="inlineStr">
        <is>
          <t>Owed to shareholder</t>
        </is>
      </c>
      <c r="G14" t="inlineStr">
        <is>
          <t>Bank</t>
        </is>
      </c>
    </row>
    <row r="15">
      <c r="A15" t="n">
        <v>4</v>
      </c>
      <c r="B15" t="inlineStr">
        <is>
          <t>2025-12-31</t>
        </is>
      </c>
      <c r="C15" t="inlineStr">
        <is>
          <t>Motor Vehicle (50%, incl auto ins.)</t>
        </is>
      </c>
      <c r="D15" s="2" t="n">
        <v>4042.59</v>
      </c>
      <c r="F15" t="inlineStr">
        <is>
          <t>Expense</t>
        </is>
      </c>
      <c r="G15" t="inlineStr">
        <is>
          <t>Receipts</t>
        </is>
      </c>
    </row>
    <row r="16">
      <c r="A16" t="n">
        <v>5</v>
      </c>
      <c r="B16" t="inlineStr">
        <is>
          <t>2025-12-31</t>
        </is>
      </c>
      <c r="C16" t="inlineStr">
        <is>
          <t>Depreciation (CCA - Class 50)</t>
        </is>
      </c>
      <c r="D16" s="2" t="n">
        <v>3560.28</v>
      </c>
      <c r="F16" t="inlineStr">
        <is>
          <t>Expense</t>
        </is>
      </c>
      <c r="G16" t="inlineStr">
        <is>
          <t>Receipts</t>
        </is>
      </c>
    </row>
    <row r="17">
      <c r="A17" t="n">
        <v>5</v>
      </c>
      <c r="B17" t="inlineStr">
        <is>
          <t>2025-12-31</t>
        </is>
      </c>
      <c r="C17" t="inlineStr">
        <is>
          <t>Accumulated Depreciation (1742)</t>
        </is>
      </c>
      <c r="E17" s="2" t="n">
        <v>3560.28</v>
      </c>
      <c r="F17" t="inlineStr">
        <is>
          <t>CCA</t>
        </is>
      </c>
      <c r="G17" t="inlineStr">
        <is>
          <t>CCA</t>
        </is>
      </c>
    </row>
    <row r="18">
      <c r="A18" t="n">
        <v>6</v>
      </c>
      <c r="B18" t="inlineStr">
        <is>
          <t>2025-12-31</t>
        </is>
      </c>
      <c r="C18" t="inlineStr">
        <is>
          <t>Business Travel - air to NY</t>
        </is>
      </c>
      <c r="D18" s="2" t="n">
        <v>2967.65</v>
      </c>
      <c r="F18" t="inlineStr">
        <is>
          <t>Expense</t>
        </is>
      </c>
      <c r="G18" t="inlineStr">
        <is>
          <t>Receipts</t>
        </is>
      </c>
    </row>
    <row r="19">
      <c r="A19" t="n">
        <v>7</v>
      </c>
      <c r="B19" t="inlineStr">
        <is>
          <t>2025-12-31</t>
        </is>
      </c>
      <c r="C19" t="inlineStr">
        <is>
          <t>Cloud/Software (AWS, Azure, subs)</t>
        </is>
      </c>
      <c r="D19" s="2" t="n">
        <v>1361.28</v>
      </c>
      <c r="F19" t="inlineStr">
        <is>
          <t>Expense</t>
        </is>
      </c>
      <c r="G19" t="inlineStr">
        <is>
          <t>Receipts</t>
        </is>
      </c>
    </row>
    <row r="20">
      <c r="A20" t="n">
        <v>8</v>
      </c>
      <c r="B20" t="inlineStr">
        <is>
          <t>2025-12-31</t>
        </is>
      </c>
      <c r="C20" t="inlineStr">
        <is>
          <t>Professional + Legal Fees</t>
        </is>
      </c>
      <c r="D20" s="2" t="n">
        <v>1778.81</v>
      </c>
      <c r="F20" t="inlineStr">
        <is>
          <t>Expense</t>
        </is>
      </c>
      <c r="G20" t="inlineStr">
        <is>
          <t>Receipts</t>
        </is>
      </c>
    </row>
    <row r="21">
      <c r="A21" t="n">
        <v>9</v>
      </c>
      <c r="B21" t="inlineStr">
        <is>
          <t>2025-12-31</t>
        </is>
      </c>
      <c r="C21" t="inlineStr">
        <is>
          <t>Training and Education</t>
        </is>
      </c>
      <c r="D21" s="2" t="n">
        <v>763.33</v>
      </c>
      <c r="F21" t="inlineStr">
        <is>
          <t>Expense</t>
        </is>
      </c>
      <c r="G21" t="inlineStr">
        <is>
          <t>Receipts</t>
        </is>
      </c>
    </row>
    <row r="22">
      <c r="A22" t="n">
        <v>10</v>
      </c>
      <c r="B22" t="inlineStr">
        <is>
          <t>2025-12-31</t>
        </is>
      </c>
      <c r="C22" t="inlineStr">
        <is>
          <t>Telephone and Internet</t>
        </is>
      </c>
      <c r="D22" s="2" t="n">
        <v>447.41</v>
      </c>
      <c r="F22" t="inlineStr">
        <is>
          <t>Expense</t>
        </is>
      </c>
      <c r="G22" t="inlineStr">
        <is>
          <t>Receipts</t>
        </is>
      </c>
    </row>
    <row r="23">
      <c r="A23" t="n">
        <v>11</v>
      </c>
      <c r="B23" t="inlineStr">
        <is>
          <t>2025-12-31</t>
        </is>
      </c>
      <c r="C23" t="inlineStr">
        <is>
          <t>Property Taxes (20% home office)</t>
        </is>
      </c>
      <c r="D23" s="2" t="n">
        <v>217.85</v>
      </c>
      <c r="F23" t="inlineStr">
        <is>
          <t>Expense</t>
        </is>
      </c>
      <c r="G23" t="inlineStr">
        <is>
          <t>Receipts</t>
        </is>
      </c>
    </row>
    <row r="24">
      <c r="A24" t="n">
        <v>12</v>
      </c>
      <c r="B24" t="inlineStr">
        <is>
          <t>2025-12-31</t>
        </is>
      </c>
      <c r="C24" t="inlineStr">
        <is>
          <t>Utilities (20% home office)</t>
        </is>
      </c>
      <c r="D24" s="2" t="n">
        <v>396.27</v>
      </c>
      <c r="F24" t="inlineStr">
        <is>
          <t>Expense</t>
        </is>
      </c>
      <c r="G24" t="inlineStr">
        <is>
          <t>Receipts</t>
        </is>
      </c>
    </row>
    <row r="25">
      <c r="A25" t="n">
        <v>13</v>
      </c>
      <c r="B25" t="inlineStr">
        <is>
          <t>2025-12-31</t>
        </is>
      </c>
      <c r="C25" t="inlineStr">
        <is>
          <t>Repairs &amp; Maintenance (20% home)</t>
        </is>
      </c>
      <c r="D25" s="2" t="n">
        <v>229.42</v>
      </c>
      <c r="F25" t="inlineStr">
        <is>
          <t>Expense</t>
        </is>
      </c>
      <c r="G25" t="inlineStr">
        <is>
          <t>Receipts</t>
        </is>
      </c>
    </row>
    <row r="26">
      <c r="A26" t="n">
        <v>14</v>
      </c>
      <c r="B26" t="inlineStr">
        <is>
          <t>2025-12-31</t>
        </is>
      </c>
      <c r="C26" t="inlineStr">
        <is>
          <t>Meals &amp; Entertainment (50%)</t>
        </is>
      </c>
      <c r="D26" s="2" t="n">
        <v>364.61</v>
      </c>
      <c r="F26" t="inlineStr">
        <is>
          <t>Expense</t>
        </is>
      </c>
      <c r="G26" t="inlineStr">
        <is>
          <t>Receipts</t>
        </is>
      </c>
    </row>
    <row r="27">
      <c r="A27" t="n">
        <v>15</v>
      </c>
      <c r="B27" t="inlineStr">
        <is>
          <t>2025-12-31</t>
        </is>
      </c>
      <c r="C27" t="inlineStr">
        <is>
          <t>Bank Charges</t>
        </is>
      </c>
      <c r="D27" s="2" t="n">
        <v>181.29</v>
      </c>
      <c r="F27" t="inlineStr">
        <is>
          <t>Expense</t>
        </is>
      </c>
      <c r="G27" t="inlineStr">
        <is>
          <t>Receipts</t>
        </is>
      </c>
    </row>
    <row r="28">
      <c r="A28" t="n">
        <v>16</v>
      </c>
      <c r="B28" t="inlineStr">
        <is>
          <t>2025-12-31</t>
        </is>
      </c>
      <c r="C28" t="inlineStr">
        <is>
          <t>Shareholder Loan Payable (3640)</t>
        </is>
      </c>
      <c r="E28" s="2" t="n">
        <v>12750.51</v>
      </c>
      <c r="F28" t="inlineStr">
        <is>
          <t>Shareholder paid expenses</t>
        </is>
      </c>
      <c r="G28" t="inlineStr">
        <is>
          <t>Summary</t>
        </is>
      </c>
    </row>
    <row r="29">
      <c r="A29" t="n">
        <v>17</v>
      </c>
      <c r="B29" t="inlineStr">
        <is>
          <t>2025-12-31</t>
        </is>
      </c>
      <c r="C29" t="inlineStr">
        <is>
          <t>Shareholder Loan Payable (3640)</t>
        </is>
      </c>
      <c r="D29" s="2" t="n">
        <v>54740.97</v>
      </c>
      <c r="F29" t="inlineStr">
        <is>
          <t>Withdrawals from bank</t>
        </is>
      </c>
      <c r="G29" t="inlineStr">
        <is>
          <t>Bank</t>
        </is>
      </c>
    </row>
    <row r="30">
      <c r="A30" t="n">
        <v>17</v>
      </c>
      <c r="B30" t="inlineStr">
        <is>
          <t>2025-12-31</t>
        </is>
      </c>
      <c r="C30" t="inlineStr">
        <is>
          <t>BMO Business Chequing (1010)</t>
        </is>
      </c>
      <c r="E30" s="2" t="n">
        <v>54740.97</v>
      </c>
      <c r="F30" t="inlineStr">
        <is>
          <t>Cash out</t>
        </is>
      </c>
      <c r="G30" t="inlineStr">
        <is>
          <t>Bank</t>
        </is>
      </c>
    </row>
    <row r="31">
      <c r="A31" t="n">
        <v>18</v>
      </c>
      <c r="B31" t="inlineStr">
        <is>
          <t>2025-12-31</t>
        </is>
      </c>
      <c r="C31" t="inlineStr">
        <is>
          <t>Manulife Business Advantage (1020)</t>
        </is>
      </c>
      <c r="D31" s="2" t="n">
        <v>1.95</v>
      </c>
      <c r="F31" t="inlineStr">
        <is>
          <t>Manulife ending</t>
        </is>
      </c>
      <c r="G31" t="inlineStr">
        <is>
          <t>Bank</t>
        </is>
      </c>
    </row>
    <row r="32">
      <c r="A32" t="n">
        <v>18</v>
      </c>
      <c r="B32" t="inlineStr">
        <is>
          <t>2025-12-31</t>
        </is>
      </c>
      <c r="C32" t="inlineStr">
        <is>
          <t>BMO Business Chequing (1010)</t>
        </is>
      </c>
      <c r="E32" s="2" t="n">
        <v>1.95</v>
      </c>
      <c r="F32" t="inlineStr">
        <is>
          <t>Transfer to ML</t>
        </is>
      </c>
      <c r="G32" t="inlineStr">
        <is>
          <t>Bank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4.4"/>
  <cols>
    <col width="46.6640625" customWidth="1" min="1" max="1"/>
    <col width="13.6640625" customWidth="1" min="2" max="3"/>
  </cols>
  <sheetData>
    <row r="1" ht="18" customHeight="1">
      <c r="A1" s="3" t="inlineStr">
        <is>
          <t>TRIAL BALANCE - Dec 31, 2025</t>
        </is>
      </c>
    </row>
    <row r="3">
      <c r="A3" s="1" t="inlineStr">
        <is>
          <t>Account</t>
        </is>
      </c>
      <c r="B3" s="1" t="inlineStr">
        <is>
          <t>Debit</t>
        </is>
      </c>
      <c r="C3" s="1" t="inlineStr">
        <is>
          <t>Credit</t>
        </is>
      </c>
    </row>
    <row r="4">
      <c r="A4" t="inlineStr">
        <is>
          <t>Accounts Receivable (1100)</t>
        </is>
      </c>
      <c r="B4" s="2" t="n">
        <v>4746</v>
      </c>
    </row>
    <row r="5">
      <c r="A5" t="inlineStr">
        <is>
          <t>Accumulated Depreciation (1742)</t>
        </is>
      </c>
      <c r="C5" s="2" t="n">
        <v>5980.28</v>
      </c>
    </row>
    <row r="6">
      <c r="A6" t="inlineStr">
        <is>
          <t>BMO Business Chequing (1010)</t>
        </is>
      </c>
      <c r="B6" s="2" t="n">
        <v>3932.68</v>
      </c>
    </row>
    <row r="7">
      <c r="A7" t="inlineStr">
        <is>
          <t>Bank Charges</t>
        </is>
      </c>
      <c r="B7" s="2" t="n">
        <v>181.29</v>
      </c>
    </row>
    <row r="8">
      <c r="A8" t="inlineStr">
        <is>
          <t>Business Travel - air to NY</t>
        </is>
      </c>
      <c r="B8" s="2" t="n">
        <v>2967.65</v>
      </c>
    </row>
    <row r="9">
      <c r="A9" t="inlineStr">
        <is>
          <t>Cloud/Software (AWS, Azure, subs)</t>
        </is>
      </c>
      <c r="B9" s="2" t="n">
        <v>1361.28</v>
      </c>
    </row>
    <row r="10">
      <c r="A10" t="inlineStr">
        <is>
          <t>Computer Hardware (1741)</t>
        </is>
      </c>
      <c r="B10" s="2" t="n">
        <v>6380</v>
      </c>
    </row>
    <row r="11">
      <c r="A11" t="inlineStr">
        <is>
          <t>Corporate Income - Software Engineering (4300)</t>
        </is>
      </c>
      <c r="C11" s="2" t="n">
        <v>57729.34</v>
      </c>
    </row>
    <row r="12">
      <c r="A12" t="inlineStr">
        <is>
          <t>Depreciation (CCA - Class 50)</t>
        </is>
      </c>
      <c r="B12" s="2" t="n">
        <v>3560.28</v>
      </c>
    </row>
    <row r="13">
      <c r="A13" t="inlineStr">
        <is>
          <t>HST Payable (2100)</t>
        </is>
      </c>
      <c r="C13" s="2" t="n">
        <v>8186.52</v>
      </c>
    </row>
    <row r="14">
      <c r="A14" t="inlineStr">
        <is>
          <t>HST Recoverable (1200)</t>
        </is>
      </c>
      <c r="B14" s="2" t="n">
        <v>71.14</v>
      </c>
    </row>
    <row r="15">
      <c r="A15" t="inlineStr">
        <is>
          <t>Manulife Business Advantage (1020)</t>
        </is>
      </c>
      <c r="B15" s="2" t="n">
        <v>1.95</v>
      </c>
    </row>
    <row r="16">
      <c r="A16" t="inlineStr">
        <is>
          <t>Meals &amp; Entertainment (50%)</t>
        </is>
      </c>
      <c r="B16" s="2" t="n">
        <v>364.61</v>
      </c>
    </row>
    <row r="17">
      <c r="A17" t="inlineStr">
        <is>
          <t>Motor Vehicle (50%, incl auto ins.)</t>
        </is>
      </c>
      <c r="B17" s="2" t="n">
        <v>4042.59</v>
      </c>
    </row>
    <row r="18">
      <c r="A18" t="inlineStr">
        <is>
          <t>Professional + Legal Fees</t>
        </is>
      </c>
      <c r="B18" s="2" t="n">
        <v>1778.81</v>
      </c>
    </row>
    <row r="19">
      <c r="A19" t="inlineStr">
        <is>
          <t>Property Taxes (20% home office)</t>
        </is>
      </c>
      <c r="B19" s="2" t="n">
        <v>217.85</v>
      </c>
    </row>
    <row r="20">
      <c r="A20" t="inlineStr">
        <is>
          <t>Repairs &amp; Maintenance (20% home)</t>
        </is>
      </c>
      <c r="B20" s="2" t="n">
        <v>229.42</v>
      </c>
    </row>
    <row r="21">
      <c r="A21" t="inlineStr">
        <is>
          <t>Retained Earnings (3100)</t>
        </is>
      </c>
      <c r="B21" s="2" t="n">
        <v>4012.53</v>
      </c>
    </row>
    <row r="22">
      <c r="A22" t="inlineStr">
        <is>
          <t>Shareholder Loan Payable (3640)</t>
        </is>
      </c>
      <c r="B22" s="2" t="n">
        <v>35809.63</v>
      </c>
    </row>
    <row r="23">
      <c r="A23" t="inlineStr">
        <is>
          <t>TD Business Chequing (1000)</t>
        </is>
      </c>
      <c r="B23" s="2" t="n">
        <v>631.42</v>
      </c>
    </row>
    <row r="24">
      <c r="A24" t="inlineStr">
        <is>
          <t>Telephone and Internet</t>
        </is>
      </c>
      <c r="B24" s="2" t="n">
        <v>447.41</v>
      </c>
    </row>
    <row r="25">
      <c r="A25" t="inlineStr">
        <is>
          <t>Training and Education</t>
        </is>
      </c>
      <c r="B25" s="2" t="n">
        <v>763.33</v>
      </c>
    </row>
    <row r="26">
      <c r="A26" t="inlineStr">
        <is>
          <t>Utilities (20% home office)</t>
        </is>
      </c>
      <c r="B26" s="2" t="n">
        <v>396.27</v>
      </c>
    </row>
    <row r="27">
      <c r="A27" s="4" t="inlineStr">
        <is>
          <t>TOTAL</t>
        </is>
      </c>
      <c r="B27" s="5" t="n">
        <v>71896.14</v>
      </c>
      <c r="C27" s="5" t="n">
        <v>71896.14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H25" sqref="H25"/>
    </sheetView>
  </sheetViews>
  <sheetFormatPr baseColWidth="8" defaultRowHeight="14.4"/>
  <cols>
    <col width="42.6640625" customWidth="1" min="1" max="1"/>
    <col width="13.6640625" customWidth="1" min="2" max="3"/>
  </cols>
  <sheetData>
    <row r="1" ht="18" customHeight="1">
      <c r="A1" s="3" t="inlineStr">
        <is>
          <t>INCOME STATEMENT - FY2025</t>
        </is>
      </c>
    </row>
    <row r="3">
      <c r="A3" s="4" t="inlineStr">
        <is>
          <t>REVENUE</t>
        </is>
      </c>
    </row>
    <row r="4">
      <c r="A4" t="inlineStr">
        <is>
          <t xml:space="preserve">  Sales - net of HST (DATAMOND + Uber)</t>
        </is>
      </c>
      <c r="B4" s="2" t="n">
        <v>55954.27</v>
      </c>
      <c r="C4" s="2" t="n">
        <v>55954.27</v>
      </c>
    </row>
    <row r="5">
      <c r="A5" t="inlineStr">
        <is>
          <t xml:space="preserve">  Quick Method spread (taxable)</t>
        </is>
      </c>
      <c r="B5" s="2" t="n">
        <v>1775.07</v>
      </c>
      <c r="C5" s="2" t="n">
        <v>1775.07</v>
      </c>
    </row>
    <row r="6">
      <c r="A6" s="4" t="inlineStr">
        <is>
          <t>Total Revenue</t>
        </is>
      </c>
      <c r="B6" s="5" t="n">
        <v>57729.34</v>
      </c>
      <c r="C6" s="5" t="n">
        <v>57729.34</v>
      </c>
    </row>
    <row r="8">
      <c r="A8" s="4" t="inlineStr">
        <is>
          <t>EXPENSES</t>
        </is>
      </c>
    </row>
    <row r="9">
      <c r="A9" t="inlineStr">
        <is>
          <t xml:space="preserve">  Advertising</t>
        </is>
      </c>
      <c r="B9" s="6" t="n">
        <v>376.14</v>
      </c>
    </row>
    <row r="10">
      <c r="A10" t="inlineStr">
        <is>
          <t xml:space="preserve">  Membership</t>
        </is>
      </c>
      <c r="B10" s="6" t="n">
        <v>1372.78</v>
      </c>
    </row>
    <row r="11">
      <c r="A11" t="inlineStr">
        <is>
          <t xml:space="preserve">  Motor Vehicle (50%, incl auto ins.)</t>
        </is>
      </c>
      <c r="B11" s="7" t="n">
        <v>3042.59</v>
      </c>
      <c r="C11" s="2" t="n">
        <v>4042.59</v>
      </c>
    </row>
    <row r="12">
      <c r="A12" t="inlineStr">
        <is>
          <t xml:space="preserve">  Depreciation (CCA - Class 50)</t>
        </is>
      </c>
      <c r="B12" s="7" t="n">
        <v>2413.5</v>
      </c>
      <c r="C12" s="2" t="n">
        <v>2413.5</v>
      </c>
      <c r="D12">
        <f>B12*2</f>
        <v/>
      </c>
    </row>
    <row r="13">
      <c r="A13" t="inlineStr">
        <is>
          <t xml:space="preserve">  Business Travel - air to NY</t>
        </is>
      </c>
      <c r="B13" s="7" t="n">
        <v>2967.65</v>
      </c>
      <c r="C13" s="2" t="n">
        <v>2967.65</v>
      </c>
    </row>
    <row r="14">
      <c r="A14" t="inlineStr">
        <is>
          <t>9274 shpping</t>
        </is>
      </c>
      <c r="B14" s="7" t="n">
        <v>160</v>
      </c>
      <c r="C14" s="2" t="n"/>
    </row>
    <row r="15">
      <c r="A15" t="inlineStr">
        <is>
          <t xml:space="preserve">  Cloud/Software (AWS, Azure, subs)</t>
        </is>
      </c>
      <c r="B15" s="7" t="n">
        <v>1361.28</v>
      </c>
      <c r="C15" s="2" t="n">
        <v>1361.28</v>
      </c>
    </row>
    <row r="16">
      <c r="A16" t="inlineStr">
        <is>
          <t xml:space="preserve">  Professional + Legal Fees</t>
        </is>
      </c>
      <c r="B16" s="7" t="n">
        <v>1778.81</v>
      </c>
      <c r="C16" s="2" t="n">
        <v>1778.81</v>
      </c>
      <c r="D16" s="2">
        <f>C16-565</f>
        <v/>
      </c>
    </row>
    <row r="17">
      <c r="A17" t="inlineStr">
        <is>
          <t xml:space="preserve">  Training and Education 8867</t>
        </is>
      </c>
      <c r="B17" s="7" t="n">
        <v>763.33</v>
      </c>
      <c r="C17" s="2" t="n">
        <v>763.33</v>
      </c>
    </row>
    <row r="18">
      <c r="A18" t="inlineStr">
        <is>
          <t xml:space="preserve">  Telephone and Internet</t>
        </is>
      </c>
      <c r="B18" s="7" t="n">
        <v>447.41</v>
      </c>
      <c r="C18" s="2" t="n">
        <v>447.41</v>
      </c>
    </row>
    <row r="19">
      <c r="A19" t="inlineStr">
        <is>
          <t xml:space="preserve">  Property Taxes (20% home office)</t>
        </is>
      </c>
      <c r="B19" s="7" t="n">
        <v>317.85</v>
      </c>
      <c r="C19" s="2" t="n">
        <v>217.85</v>
      </c>
    </row>
    <row r="20">
      <c r="A20" t="inlineStr">
        <is>
          <t xml:space="preserve">  Utilities (20% home office)</t>
        </is>
      </c>
      <c r="B20" s="7" t="n">
        <v>396.27</v>
      </c>
      <c r="C20" s="2" t="n">
        <v>396.27</v>
      </c>
    </row>
    <row r="21">
      <c r="A21" t="inlineStr">
        <is>
          <t xml:space="preserve">  Repairs &amp; Maintenance (20% home)</t>
        </is>
      </c>
      <c r="B21" s="7" t="n">
        <v>367.28</v>
      </c>
      <c r="C21" s="2" t="n">
        <v>229.42</v>
      </c>
      <c r="D21" s="2">
        <f>B21+137.86</f>
        <v/>
      </c>
    </row>
    <row r="22">
      <c r="A22" t="inlineStr">
        <is>
          <t xml:space="preserve">  Meals &amp; Entertainment (50%)</t>
        </is>
      </c>
      <c r="B22" s="7" t="n">
        <v>364.61</v>
      </c>
      <c r="C22" s="2" t="n">
        <v>364.61</v>
      </c>
    </row>
    <row r="23">
      <c r="A23" t="inlineStr">
        <is>
          <t xml:space="preserve">  Bank Charges</t>
        </is>
      </c>
      <c r="B23" s="7" t="n">
        <v>181.29</v>
      </c>
      <c r="C23" s="2" t="n">
        <v>181.29</v>
      </c>
    </row>
    <row r="24">
      <c r="A24" s="4" t="inlineStr">
        <is>
          <t>Total Expenses</t>
        </is>
      </c>
      <c r="B24" s="5">
        <f>SUM(B9:B23)</f>
        <v/>
      </c>
      <c r="C24" s="5" t="n">
        <v>16310.79</v>
      </c>
      <c r="D24" s="2">
        <f>B24-C24</f>
        <v/>
      </c>
    </row>
    <row r="26">
      <c r="A26" s="4" t="inlineStr">
        <is>
          <t>NET INCOME</t>
        </is>
      </c>
      <c r="B26" s="5">
        <f>B6-B24</f>
        <v/>
      </c>
      <c r="C26" s="5" t="n">
        <v>41418.55</v>
      </c>
      <c r="D26" s="2">
        <f>B26-C26</f>
        <v/>
      </c>
    </row>
    <row r="27">
      <c r="A27" s="4" t="inlineStr">
        <is>
          <t>Tax @ 12.2%</t>
        </is>
      </c>
      <c r="B27" s="5" t="n">
        <v>5053.06</v>
      </c>
      <c r="C27" s="5" t="n">
        <v>5053.06</v>
      </c>
    </row>
    <row r="28">
      <c r="A28" t="inlineStr">
        <is>
          <t>Tax already paid (RC0001)</t>
        </is>
      </c>
      <c r="B28" s="2" t="n">
        <v>2620.43</v>
      </c>
      <c r="C28" s="2" t="n">
        <v>2620.43</v>
      </c>
    </row>
    <row r="29">
      <c r="A29" s="4" t="inlineStr">
        <is>
          <t>TOP-UP OWING TO CRA</t>
        </is>
      </c>
      <c r="B29" s="5" t="n">
        <v>2432.63</v>
      </c>
      <c r="C29" s="5" t="n">
        <v>2432.63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E28" sqref="E28"/>
    </sheetView>
  </sheetViews>
  <sheetFormatPr baseColWidth="8" defaultRowHeight="14.4"/>
  <cols>
    <col width="46.6640625" customWidth="1" min="1" max="1"/>
    <col width="13.6640625" customWidth="1" min="2" max="2"/>
  </cols>
  <sheetData>
    <row r="1" ht="18" customHeight="1">
      <c r="A1" s="3" t="inlineStr">
        <is>
          <t>BALANCE SHEET - Dec 31, 2025</t>
        </is>
      </c>
    </row>
    <row r="3">
      <c r="A3" s="4" t="inlineStr">
        <is>
          <t>ASSETS</t>
        </is>
      </c>
    </row>
    <row r="4">
      <c r="A4" t="inlineStr">
        <is>
          <t>TD Business Chequing (1000)</t>
        </is>
      </c>
      <c r="B4" s="2" t="n">
        <v>631.42</v>
      </c>
    </row>
    <row r="5">
      <c r="A5" t="inlineStr">
        <is>
          <t>BMO Business Chequing (1010)</t>
        </is>
      </c>
      <c r="B5" s="2" t="n">
        <v>3932.68</v>
      </c>
    </row>
    <row r="6">
      <c r="A6" t="inlineStr">
        <is>
          <t>Manulife Business Advantage (1020)</t>
        </is>
      </c>
      <c r="B6" s="2" t="n">
        <v>1.95</v>
      </c>
      <c r="C6" s="2">
        <f>SUM(B4:B6)</f>
        <v/>
      </c>
    </row>
    <row r="7">
      <c r="A7" t="inlineStr">
        <is>
          <t>Accounts Receivable (1100)</t>
        </is>
      </c>
      <c r="B7" s="2" t="n">
        <v>4746</v>
      </c>
      <c r="C7" s="2">
        <f>C6+B7</f>
        <v/>
      </c>
    </row>
    <row r="8">
      <c r="A8" t="inlineStr">
        <is>
          <t>HST Recoverable (1200)</t>
        </is>
      </c>
      <c r="B8" s="2" t="n">
        <v>71.14</v>
      </c>
      <c r="C8" s="2">
        <f>C7+B8</f>
        <v/>
      </c>
      <c r="D8" t="inlineStr">
        <is>
          <t>total current</t>
        </is>
      </c>
    </row>
    <row r="9">
      <c r="A9" t="inlineStr">
        <is>
          <t>Computer Hardware (1741)</t>
        </is>
      </c>
      <c r="B9" s="2" t="n">
        <v>6380</v>
      </c>
    </row>
    <row r="10">
      <c r="A10" t="inlineStr">
        <is>
          <t>Accumulated Depreciation (1742)</t>
        </is>
      </c>
      <c r="B10" s="2" t="n">
        <v>-3737.5</v>
      </c>
    </row>
    <row r="11">
      <c r="A11" t="inlineStr">
        <is>
          <t>Shareholder Loan Receivable (due from shareholder)</t>
        </is>
      </c>
      <c r="B11" s="2" t="n">
        <v>33566.85</v>
      </c>
    </row>
    <row r="12">
      <c r="A12" s="4" t="inlineStr">
        <is>
          <t>Total Assets</t>
        </is>
      </c>
      <c r="B12" s="5" t="n">
        <v>45592.54</v>
      </c>
    </row>
    <row r="14">
      <c r="A14" s="4" t="inlineStr">
        <is>
          <t>LIABILITIES</t>
        </is>
      </c>
    </row>
    <row r="15">
      <c r="A15" t="inlineStr">
        <is>
          <t>HST Payable (2100)  [2024 + 2025 owing]</t>
        </is>
      </c>
      <c r="B15" s="2" t="n">
        <v>8186.52</v>
      </c>
    </row>
    <row r="16">
      <c r="A16" s="4" t="inlineStr">
        <is>
          <t>Total Liabilities</t>
        </is>
      </c>
      <c r="B16" s="5" t="n">
        <v>8186.52</v>
      </c>
    </row>
    <row r="18">
      <c r="A18" s="4" t="inlineStr">
        <is>
          <t>EQUITY</t>
        </is>
      </c>
    </row>
    <row r="19">
      <c r="A19" t="inlineStr">
        <is>
          <t>Retained Earnings (opening deficit)</t>
        </is>
      </c>
      <c r="B19" s="2" t="n">
        <v>-4012.53</v>
      </c>
    </row>
    <row r="20">
      <c r="A20" t="inlineStr">
        <is>
          <t>Net Income (current year)</t>
        </is>
      </c>
      <c r="B20" s="2" t="n">
        <v>41418.55</v>
      </c>
    </row>
    <row r="21">
      <c r="A21" s="4" t="inlineStr">
        <is>
          <t>Total Equity</t>
        </is>
      </c>
      <c r="B21" s="5" t="n">
        <v>37406.02</v>
      </c>
    </row>
    <row r="23">
      <c r="A23" s="4" t="inlineStr">
        <is>
          <t>CHECK: Assets - (L + E)</t>
        </is>
      </c>
      <c r="B23" s="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4.4"/>
  <cols>
    <col width="9.6640625" customWidth="1" min="1" max="1"/>
    <col width="46.6640625" customWidth="1" min="2" max="2"/>
    <col width="13.6640625" customWidth="1" min="3" max="3"/>
  </cols>
  <sheetData>
    <row r="1" ht="18" customHeight="1">
      <c r="A1" s="3" t="inlineStr">
        <is>
          <t>GIFI - T2 Schedules 100 &amp; 125</t>
        </is>
      </c>
    </row>
    <row r="3">
      <c r="A3" s="4" t="inlineStr">
        <is>
          <t>SCHEDULE 100 - BALANCE SHEET</t>
        </is>
      </c>
    </row>
    <row r="4">
      <c r="A4" s="1" t="inlineStr">
        <is>
          <t>GIFI</t>
        </is>
      </c>
      <c r="B4" s="1" t="inlineStr">
        <is>
          <t>Description</t>
        </is>
      </c>
      <c r="C4" s="1" t="inlineStr">
        <is>
          <t>Amount</t>
        </is>
      </c>
    </row>
    <row r="5">
      <c r="A5" t="inlineStr">
        <is>
          <t>1001</t>
        </is>
      </c>
      <c r="B5" t="inlineStr">
        <is>
          <t>Cash</t>
        </is>
      </c>
      <c r="C5" s="2" t="n">
        <v>4566.05</v>
      </c>
    </row>
    <row r="6">
      <c r="A6" t="inlineStr">
        <is>
          <t>1060</t>
        </is>
      </c>
      <c r="B6" t="inlineStr">
        <is>
          <t>Accounts receivable</t>
        </is>
      </c>
      <c r="C6" s="2" t="n">
        <v>4746</v>
      </c>
    </row>
    <row r="7">
      <c r="A7" t="inlineStr">
        <is>
          <t>1067</t>
        </is>
      </c>
      <c r="B7" t="inlineStr">
        <is>
          <t>GST/HST receivable (ITC)</t>
        </is>
      </c>
      <c r="C7" s="2" t="n">
        <v>71.14</v>
      </c>
    </row>
    <row r="8">
      <c r="A8" t="inlineStr">
        <is>
          <t>1300</t>
        </is>
      </c>
      <c r="B8" t="inlineStr">
        <is>
          <t>Due from shareholder(s)/director(s)</t>
        </is>
      </c>
      <c r="C8" s="2" t="n">
        <v>33566.85</v>
      </c>
    </row>
    <row r="9">
      <c r="A9" t="inlineStr">
        <is>
          <t>1740</t>
        </is>
      </c>
      <c r="B9" t="inlineStr">
        <is>
          <t>Computer equipment (cost)</t>
        </is>
      </c>
      <c r="C9" s="2" t="n">
        <v>6380</v>
      </c>
    </row>
    <row r="10">
      <c r="A10" t="inlineStr">
        <is>
          <t>1741</t>
        </is>
      </c>
      <c r="B10" t="inlineStr">
        <is>
          <t>Accumulated amortization</t>
        </is>
      </c>
      <c r="C10" s="2" t="n">
        <v>-3737.5</v>
      </c>
    </row>
    <row r="11">
      <c r="A11" t="inlineStr">
        <is>
          <t>2620</t>
        </is>
      </c>
      <c r="B11" t="inlineStr">
        <is>
          <t>GST/HST payable</t>
        </is>
      </c>
      <c r="C11" s="2" t="n">
        <v>8186.52</v>
      </c>
    </row>
    <row r="12">
      <c r="A12" t="inlineStr">
        <is>
          <t>3600</t>
        </is>
      </c>
      <c r="B12" t="inlineStr">
        <is>
          <t>Retained earnings - end</t>
        </is>
      </c>
      <c r="C12" s="2" t="n">
        <v>37406.02</v>
      </c>
    </row>
    <row r="14">
      <c r="A14" s="4" t="inlineStr">
        <is>
          <t>SCHEDULE 125 - INCOME STATEMENT</t>
        </is>
      </c>
    </row>
    <row r="15">
      <c r="A15" s="1" t="inlineStr">
        <is>
          <t>GIFI</t>
        </is>
      </c>
      <c r="B15" s="1" t="inlineStr">
        <is>
          <t>Description</t>
        </is>
      </c>
      <c r="C15" s="1" t="inlineStr">
        <is>
          <t>Amount</t>
        </is>
      </c>
    </row>
    <row r="16">
      <c r="A16" t="inlineStr">
        <is>
          <t>8000</t>
        </is>
      </c>
      <c r="B16" t="inlineStr">
        <is>
          <t>Revenue (net + Quick Method spread)</t>
        </is>
      </c>
      <c r="C16" s="2" t="n">
        <v>57729.34</v>
      </c>
    </row>
    <row r="17">
      <c r="A17" t="inlineStr">
        <is>
          <t>9281</t>
        </is>
      </c>
      <c r="B17" t="inlineStr">
        <is>
          <t>Motor Vehicle (50%, incl auto ins.)</t>
        </is>
      </c>
      <c r="C17" s="2" t="n">
        <v>4042.59</v>
      </c>
    </row>
    <row r="18">
      <c r="A18" t="inlineStr">
        <is>
          <t>8670</t>
        </is>
      </c>
      <c r="B18" t="inlineStr">
        <is>
          <t>Depreciation (CCA - Class 50)</t>
        </is>
      </c>
      <c r="C18" s="2" t="n">
        <v>2413.5</v>
      </c>
    </row>
    <row r="19">
      <c r="A19" t="inlineStr">
        <is>
          <t>9200</t>
        </is>
      </c>
      <c r="B19" t="inlineStr">
        <is>
          <t>Business Travel - air to NY</t>
        </is>
      </c>
      <c r="C19" s="2" t="n">
        <v>2967.65</v>
      </c>
    </row>
    <row r="20">
      <c r="A20" t="inlineStr">
        <is>
          <t>8811</t>
        </is>
      </c>
      <c r="B20" t="inlineStr">
        <is>
          <t>Cloud/Software (AWS, Azure, subs)</t>
        </is>
      </c>
      <c r="C20" s="2" t="n">
        <v>1361.28</v>
      </c>
    </row>
    <row r="21">
      <c r="A21" t="inlineStr">
        <is>
          <t>8860</t>
        </is>
      </c>
      <c r="B21" t="inlineStr">
        <is>
          <t>Professional + Legal Fees</t>
        </is>
      </c>
      <c r="C21" s="2" t="n">
        <v>1778.81</v>
      </c>
    </row>
    <row r="22">
      <c r="A22" t="inlineStr">
        <is>
          <t>9210</t>
        </is>
      </c>
      <c r="B22" t="inlineStr">
        <is>
          <t>Training and Education</t>
        </is>
      </c>
      <c r="C22" s="2" t="n">
        <v>763.33</v>
      </c>
    </row>
    <row r="23">
      <c r="A23" t="inlineStr">
        <is>
          <t>9225</t>
        </is>
      </c>
      <c r="B23" t="inlineStr">
        <is>
          <t>Telephone and Internet</t>
        </is>
      </c>
      <c r="C23" s="2" t="n">
        <v>447.41</v>
      </c>
    </row>
    <row r="24">
      <c r="A24" t="inlineStr">
        <is>
          <t>9180</t>
        </is>
      </c>
      <c r="B24" t="inlineStr">
        <is>
          <t>Property Taxes (20% home office)</t>
        </is>
      </c>
      <c r="C24" s="2" t="n">
        <v>217.85</v>
      </c>
    </row>
    <row r="25">
      <c r="A25" t="inlineStr">
        <is>
          <t>9220</t>
        </is>
      </c>
      <c r="B25" t="inlineStr">
        <is>
          <t>Utilities (20% home office)</t>
        </is>
      </c>
      <c r="C25" s="2" t="n">
        <v>396.27</v>
      </c>
    </row>
    <row r="26">
      <c r="A26" t="inlineStr">
        <is>
          <t>8960</t>
        </is>
      </c>
      <c r="B26" t="inlineStr">
        <is>
          <t>Repairs &amp; Maintenance (20% home)</t>
        </is>
      </c>
      <c r="C26" s="2" t="n">
        <v>229.42</v>
      </c>
    </row>
    <row r="27">
      <c r="A27" t="inlineStr">
        <is>
          <t>8523</t>
        </is>
      </c>
      <c r="B27" t="inlineStr">
        <is>
          <t>Meals &amp; Entertainment (50%)</t>
        </is>
      </c>
      <c r="C27" s="2" t="n">
        <v>364.61</v>
      </c>
    </row>
    <row r="28">
      <c r="A28" t="inlineStr">
        <is>
          <t>8714</t>
        </is>
      </c>
      <c r="B28" t="inlineStr">
        <is>
          <t>Bank Charges</t>
        </is>
      </c>
      <c r="C28" s="2" t="n">
        <v>181.29</v>
      </c>
    </row>
    <row r="29">
      <c r="A29" t="inlineStr">
        <is>
          <t>9368</t>
        </is>
      </c>
      <c r="B29" s="4" t="inlineStr">
        <is>
          <t>Total expenses</t>
        </is>
      </c>
      <c r="C29" s="5" t="n">
        <v>16310.79</v>
      </c>
    </row>
    <row r="30">
      <c r="A30" t="inlineStr">
        <is>
          <t>9970</t>
        </is>
      </c>
      <c r="B30" s="4" t="inlineStr">
        <is>
          <t>Net income before tax</t>
        </is>
      </c>
      <c r="C30" s="5" t="n">
        <v>41418.55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2026-06-30T07:16:30Z</dcterms:created>
  <dcterms:modified xsi:type="dcterms:W3CDTF">2026-06-30T20:12:25Z</dcterms:modified>
  <cp:lastModifiedBy>leo reny</cp:lastModifiedBy>
</cp:coreProperties>
</file>