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oocore\doc\2025\corponly\basedonfixed\s9\"/>
    </mc:Choice>
  </mc:AlternateContent>
  <xr:revisionPtr revIDLastSave="0" documentId="13_ncr:1_{EB246B16-4FF3-49D0-AC2F-30C7CF0A1699}" xr6:coauthVersionLast="47" xr6:coauthVersionMax="47" xr10:uidLastSave="{00000000-0000-0000-0000-000000000000}"/>
  <bookViews>
    <workbookView xWindow="-60" yWindow="288" windowWidth="18900" windowHeight="16272" firstSheet="1" activeTab="3" xr2:uid="{00000000-000D-0000-FFFF-FFFF00000000}"/>
  </bookViews>
  <sheets>
    <sheet name="Journal Entries" sheetId="1" r:id="rId1"/>
    <sheet name="Trial Balance" sheetId="2" r:id="rId2"/>
    <sheet name="Income Statement" sheetId="3" r:id="rId3"/>
    <sheet name="Balance Sheet" sheetId="4" r:id="rId4"/>
    <sheet name="GIFI 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4" l="1"/>
  <c r="B12" i="4"/>
  <c r="D12" i="4" s="1"/>
  <c r="C6" i="4"/>
  <c r="C7" i="4" s="1"/>
  <c r="C8" i="4" s="1"/>
  <c r="B25" i="3"/>
  <c r="D25" i="3" s="1"/>
  <c r="D22" i="3"/>
  <c r="D17" i="3"/>
  <c r="B27" i="3" l="1"/>
  <c r="D27" i="3" s="1"/>
</calcChain>
</file>

<file path=xl/sharedStrings.xml><?xml version="1.0" encoding="utf-8"?>
<sst xmlns="http://schemas.openxmlformats.org/spreadsheetml/2006/main" count="263" uniqueCount="135">
  <si>
    <t>INCOME STATEMENT - FY2025</t>
  </si>
  <si>
    <t>REVENUE</t>
  </si>
  <si>
    <t xml:space="preserve">  Sales - net of HST (DATAMOND + Uber)</t>
  </si>
  <si>
    <t xml:space="preserve">  Quick Method spread (taxable)</t>
  </si>
  <si>
    <t>Total Revenue</t>
  </si>
  <si>
    <t>EXPENSES</t>
  </si>
  <si>
    <t>GIFI</t>
  </si>
  <si>
    <t xml:space="preserve">  Advertising</t>
  </si>
  <si>
    <t xml:space="preserve">  Membership</t>
  </si>
  <si>
    <t xml:space="preserve">  Motor Vehicle (50%, incl auto ins.)</t>
  </si>
  <si>
    <t xml:space="preserve">  Depreciation (CCA - Class 50)</t>
  </si>
  <si>
    <t xml:space="preserve">  Business Travel - air to NY</t>
  </si>
  <si>
    <t>9274 shpping</t>
  </si>
  <si>
    <t xml:space="preserve">  Cloud/Software (AWS, Azure, subs)</t>
  </si>
  <si>
    <t xml:space="preserve">  Professional + Legal Fees</t>
  </si>
  <si>
    <t xml:space="preserve">  Training and Education 8867</t>
  </si>
  <si>
    <t xml:space="preserve">  Telephone and Internet</t>
  </si>
  <si>
    <t xml:space="preserve">  Property Taxes (20% home office)</t>
  </si>
  <si>
    <t xml:space="preserve">  Utilities (20% home office)</t>
  </si>
  <si>
    <t xml:space="preserve">  Repairs &amp; Maintenance (20% home)</t>
  </si>
  <si>
    <t xml:space="preserve">  Meals &amp; Entertainment (50%)</t>
  </si>
  <si>
    <t xml:space="preserve">  Bank Charges</t>
  </si>
  <si>
    <t>Total Expenses</t>
  </si>
  <si>
    <t>NET INCOME</t>
  </si>
  <si>
    <t>Tax @ 12.2%</t>
  </si>
  <si>
    <t>Tax already paid (RC0001)</t>
  </si>
  <si>
    <t>TOP-UP OWING TO CRA</t>
  </si>
  <si>
    <t>Entry</t>
  </si>
  <si>
    <t>Date</t>
  </si>
  <si>
    <t>Account</t>
  </si>
  <si>
    <t>Debit</t>
  </si>
  <si>
    <t>Credit</t>
  </si>
  <si>
    <t>Memo</t>
  </si>
  <si>
    <t>Source</t>
  </si>
  <si>
    <t>2025-01-01</t>
  </si>
  <si>
    <t>TD Business Chequing (1000)</t>
  </si>
  <si>
    <t>Opening balance</t>
  </si>
  <si>
    <t>2024 TB</t>
  </si>
  <si>
    <t>HST Recoverable (1200)</t>
  </si>
  <si>
    <t>Computer Hardware (1741)</t>
  </si>
  <si>
    <t>Accumulated Depreciation (1742)</t>
  </si>
  <si>
    <t>HST Payable (2100)</t>
  </si>
  <si>
    <t>Shareholder Loan Payable (3640)</t>
  </si>
  <si>
    <t>Retained Earnings (3100)</t>
  </si>
  <si>
    <t>2025-12-31</t>
  </si>
  <si>
    <t>BMO Business Chequing (1010)</t>
  </si>
  <si>
    <t>Income received (DATAMOND+Uber)</t>
  </si>
  <si>
    <t>Bank</t>
  </si>
  <si>
    <t>Accounts Receivable (1100)</t>
  </si>
  <si>
    <t>DATAMOND invoiced 2025, paid 2026</t>
  </si>
  <si>
    <t>Invoices</t>
  </si>
  <si>
    <t>Corporate Income - Software Engineering (4300)</t>
  </si>
  <si>
    <t>Revenue incl Quick Method spread</t>
  </si>
  <si>
    <t>GST/Invoices</t>
  </si>
  <si>
    <t>HST net remitted (Quick Method)</t>
  </si>
  <si>
    <t>GST</t>
  </si>
  <si>
    <t>Reimburse SH personal grocery</t>
  </si>
  <si>
    <t>Owed to shareholder</t>
  </si>
  <si>
    <t>Motor Vehicle (50%, incl auto ins.)</t>
  </si>
  <si>
    <t>Expense</t>
  </si>
  <si>
    <t>Receipts</t>
  </si>
  <si>
    <t>Depreciation (CCA - Class 50)</t>
  </si>
  <si>
    <t>CCA</t>
  </si>
  <si>
    <t>Business Travel - air to NY</t>
  </si>
  <si>
    <t>Cloud/Software (AWS, Azure, subs)</t>
  </si>
  <si>
    <t>Professional + Legal Fees</t>
  </si>
  <si>
    <t>Training and Education</t>
  </si>
  <si>
    <t>Telephone and Internet</t>
  </si>
  <si>
    <t>Property Taxes (20% home office)</t>
  </si>
  <si>
    <t>Utilities (20% home office)</t>
  </si>
  <si>
    <t>Repairs &amp; Maintenance (20% home)</t>
  </si>
  <si>
    <t>Meals &amp; Entertainment (50%)</t>
  </si>
  <si>
    <t>Bank Charges</t>
  </si>
  <si>
    <t>Shareholder paid expenses</t>
  </si>
  <si>
    <t>Summary</t>
  </si>
  <si>
    <t>Withdrawals from bank</t>
  </si>
  <si>
    <t>Cash out</t>
  </si>
  <si>
    <t>Manulife Business Advantage (1020)</t>
  </si>
  <si>
    <t>Manulife ending</t>
  </si>
  <si>
    <t>Transfer to ML</t>
  </si>
  <si>
    <t>TRIAL BALANCE - Dec 31, 2025</t>
  </si>
  <si>
    <t>TOTAL</t>
  </si>
  <si>
    <t>BALANCE SHEET - Dec 31, 2025</t>
  </si>
  <si>
    <t>ASSETS</t>
  </si>
  <si>
    <t>total current</t>
  </si>
  <si>
    <t>Shareholder Loan Receivable (due from shareholder)</t>
  </si>
  <si>
    <t>Total Assets</t>
  </si>
  <si>
    <t>LIABILITIES</t>
  </si>
  <si>
    <t>HST Payable (2100)  [2024 + 2025 owing]</t>
  </si>
  <si>
    <t>Total Liabilities</t>
  </si>
  <si>
    <t>EQUITY</t>
  </si>
  <si>
    <t>Retained Earnings (opening deficit)</t>
  </si>
  <si>
    <t>Net Income (current year)</t>
  </si>
  <si>
    <t>Total Equity</t>
  </si>
  <si>
    <t>CHECK: Assets - (L + E)</t>
  </si>
  <si>
    <t>GIFI - T2 Schedules 100 &amp; 125</t>
  </si>
  <si>
    <t>SCHEDULE 100 - BALANCE SHEET</t>
  </si>
  <si>
    <t>Description</t>
  </si>
  <si>
    <t>Amount</t>
  </si>
  <si>
    <t>1001</t>
  </si>
  <si>
    <t>Cash</t>
  </si>
  <si>
    <t>1060</t>
  </si>
  <si>
    <t>Accounts receivable</t>
  </si>
  <si>
    <t>1067</t>
  </si>
  <si>
    <t>GST/HST receivable (ITC)</t>
  </si>
  <si>
    <t>1300</t>
  </si>
  <si>
    <t>Due from shareholder(s)/director(s)</t>
  </si>
  <si>
    <t>1740</t>
  </si>
  <si>
    <t>Computer equipment (cost)</t>
  </si>
  <si>
    <t>1741</t>
  </si>
  <si>
    <t>Accumulated amortization</t>
  </si>
  <si>
    <t>2620</t>
  </si>
  <si>
    <t>GST/HST payable</t>
  </si>
  <si>
    <t>3600</t>
  </si>
  <si>
    <t>Retained earnings - end</t>
  </si>
  <si>
    <t>SCHEDULE 125 - INCOME STATEMENT</t>
  </si>
  <si>
    <t>8000</t>
  </si>
  <si>
    <t>Revenue (net + Quick Method spread)</t>
  </si>
  <si>
    <t>9281</t>
  </si>
  <si>
    <t>8670</t>
  </si>
  <si>
    <t>9200</t>
  </si>
  <si>
    <t>8811</t>
  </si>
  <si>
    <t>8860</t>
  </si>
  <si>
    <t>9210</t>
  </si>
  <si>
    <t>9225</t>
  </si>
  <si>
    <t>9180</t>
  </si>
  <si>
    <t>9220</t>
  </si>
  <si>
    <t>8960</t>
  </si>
  <si>
    <t>8523</t>
  </si>
  <si>
    <t>8714</t>
  </si>
  <si>
    <t>9368</t>
  </si>
  <si>
    <t>Total expenses</t>
  </si>
  <si>
    <t>9970</t>
  </si>
  <si>
    <t>Net income before tax</t>
  </si>
  <si>
    <t>8871 Mgm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</si>
</sst>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4" fontId="0" fillId="0" borderId="0" xfId="0" applyNumberFormat="1"/>
    <xf numFmtId="0" fontId="2" fillId="0" borderId="0" xfId="0" applyFont="1"/>
    <xf numFmtId="0" fontId="3" fillId="0" borderId="0" xfId="0" applyFont="1"/>
    <xf numFmtId="4" fontId="3" fillId="0" borderId="2" xfId="0" applyNumberFormat="1" applyFont="1" applyBorder="1"/>
    <xf numFmtId="4" fontId="0" fillId="3" borderId="0" xfId="0" applyNumberFormat="1" applyFill="1"/>
    <xf numFmtId="0" fontId="0" fillId="4" borderId="0" xfId="0" applyFill="1"/>
    <xf numFmtId="4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workbookViewId="0"/>
  </sheetViews>
  <sheetFormatPr defaultRowHeight="14.4" x14ac:dyDescent="0.3"/>
  <cols>
    <col min="1" max="1" width="6.6640625" customWidth="1"/>
    <col min="2" max="2" width="12.6640625" customWidth="1"/>
    <col min="3" max="3" width="46.6640625" customWidth="1"/>
    <col min="4" max="5" width="12.6640625" customWidth="1"/>
    <col min="6" max="6" width="32.6640625" customWidth="1"/>
    <col min="7" max="7" width="13.6640625" customWidth="1"/>
  </cols>
  <sheetData>
    <row r="1" spans="1:7" x14ac:dyDescent="0.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 spans="1:7" x14ac:dyDescent="0.3">
      <c r="A2">
        <v>1</v>
      </c>
      <c r="B2" t="s">
        <v>34</v>
      </c>
      <c r="C2" t="s">
        <v>35</v>
      </c>
      <c r="D2" s="2">
        <v>631.41999999999996</v>
      </c>
      <c r="F2" t="s">
        <v>36</v>
      </c>
      <c r="G2" t="s">
        <v>37</v>
      </c>
    </row>
    <row r="3" spans="1:7" x14ac:dyDescent="0.3">
      <c r="A3">
        <v>1</v>
      </c>
      <c r="B3" t="s">
        <v>34</v>
      </c>
      <c r="C3" t="s">
        <v>38</v>
      </c>
      <c r="D3" s="2">
        <v>71.14</v>
      </c>
      <c r="F3" t="s">
        <v>36</v>
      </c>
      <c r="G3" t="s">
        <v>37</v>
      </c>
    </row>
    <row r="4" spans="1:7" x14ac:dyDescent="0.3">
      <c r="A4">
        <v>1</v>
      </c>
      <c r="B4" t="s">
        <v>34</v>
      </c>
      <c r="C4" t="s">
        <v>39</v>
      </c>
      <c r="D4" s="2">
        <v>6380</v>
      </c>
      <c r="F4" t="s">
        <v>36</v>
      </c>
      <c r="G4" t="s">
        <v>37</v>
      </c>
    </row>
    <row r="5" spans="1:7" x14ac:dyDescent="0.3">
      <c r="A5">
        <v>1</v>
      </c>
      <c r="B5" t="s">
        <v>34</v>
      </c>
      <c r="C5" t="s">
        <v>40</v>
      </c>
      <c r="E5" s="2">
        <v>2420</v>
      </c>
      <c r="F5" t="s">
        <v>36</v>
      </c>
      <c r="G5" t="s">
        <v>37</v>
      </c>
    </row>
    <row r="6" spans="1:7" x14ac:dyDescent="0.3">
      <c r="A6">
        <v>1</v>
      </c>
      <c r="B6" t="s">
        <v>34</v>
      </c>
      <c r="C6" t="s">
        <v>41</v>
      </c>
      <c r="E6" s="2">
        <v>2945.09</v>
      </c>
      <c r="F6" t="s">
        <v>36</v>
      </c>
      <c r="G6" t="s">
        <v>37</v>
      </c>
    </row>
    <row r="7" spans="1:7" x14ac:dyDescent="0.3">
      <c r="A7">
        <v>1</v>
      </c>
      <c r="B7" t="s">
        <v>34</v>
      </c>
      <c r="C7" t="s">
        <v>42</v>
      </c>
      <c r="E7" s="2">
        <v>5730</v>
      </c>
      <c r="F7" t="s">
        <v>36</v>
      </c>
      <c r="G7" t="s">
        <v>37</v>
      </c>
    </row>
    <row r="8" spans="1:7" x14ac:dyDescent="0.3">
      <c r="A8">
        <v>1</v>
      </c>
      <c r="B8" t="s">
        <v>34</v>
      </c>
      <c r="C8" t="s">
        <v>43</v>
      </c>
      <c r="D8" s="2">
        <v>4012.53</v>
      </c>
      <c r="F8" t="s">
        <v>36</v>
      </c>
      <c r="G8" t="s">
        <v>37</v>
      </c>
    </row>
    <row r="9" spans="1:7" x14ac:dyDescent="0.3">
      <c r="A9">
        <v>2</v>
      </c>
      <c r="B9" t="s">
        <v>44</v>
      </c>
      <c r="C9" t="s">
        <v>45</v>
      </c>
      <c r="D9" s="2">
        <v>58224.77</v>
      </c>
      <c r="F9" t="s">
        <v>46</v>
      </c>
      <c r="G9" t="s">
        <v>47</v>
      </c>
    </row>
    <row r="10" spans="1:7" x14ac:dyDescent="0.3">
      <c r="A10">
        <v>2</v>
      </c>
      <c r="B10" t="s">
        <v>44</v>
      </c>
      <c r="C10" t="s">
        <v>48</v>
      </c>
      <c r="D10" s="2">
        <v>4746</v>
      </c>
      <c r="F10" t="s">
        <v>49</v>
      </c>
      <c r="G10" t="s">
        <v>50</v>
      </c>
    </row>
    <row r="11" spans="1:7" x14ac:dyDescent="0.3">
      <c r="A11">
        <v>2</v>
      </c>
      <c r="B11" t="s">
        <v>44</v>
      </c>
      <c r="C11" t="s">
        <v>51</v>
      </c>
      <c r="E11" s="2">
        <v>57729.34</v>
      </c>
      <c r="F11" t="s">
        <v>52</v>
      </c>
      <c r="G11" t="s">
        <v>53</v>
      </c>
    </row>
    <row r="12" spans="1:7" x14ac:dyDescent="0.3">
      <c r="A12">
        <v>2</v>
      </c>
      <c r="B12" t="s">
        <v>44</v>
      </c>
      <c r="C12" t="s">
        <v>41</v>
      </c>
      <c r="E12" s="2">
        <v>5241.43</v>
      </c>
      <c r="F12" t="s">
        <v>54</v>
      </c>
      <c r="G12" t="s">
        <v>55</v>
      </c>
    </row>
    <row r="13" spans="1:7" x14ac:dyDescent="0.3">
      <c r="A13">
        <v>3</v>
      </c>
      <c r="B13" t="s">
        <v>44</v>
      </c>
      <c r="C13" t="s">
        <v>45</v>
      </c>
      <c r="D13" s="2">
        <v>450.83</v>
      </c>
      <c r="F13" t="s">
        <v>56</v>
      </c>
      <c r="G13" t="s">
        <v>47</v>
      </c>
    </row>
    <row r="14" spans="1:7" x14ac:dyDescent="0.3">
      <c r="A14">
        <v>3</v>
      </c>
      <c r="B14" t="s">
        <v>44</v>
      </c>
      <c r="C14" t="s">
        <v>42</v>
      </c>
      <c r="E14" s="2">
        <v>450.83</v>
      </c>
      <c r="F14" t="s">
        <v>57</v>
      </c>
      <c r="G14" t="s">
        <v>47</v>
      </c>
    </row>
    <row r="15" spans="1:7" x14ac:dyDescent="0.3">
      <c r="A15">
        <v>4</v>
      </c>
      <c r="B15" t="s">
        <v>44</v>
      </c>
      <c r="C15" t="s">
        <v>58</v>
      </c>
      <c r="D15" s="2">
        <v>4042.59</v>
      </c>
      <c r="F15" t="s">
        <v>59</v>
      </c>
      <c r="G15" t="s">
        <v>60</v>
      </c>
    </row>
    <row r="16" spans="1:7" x14ac:dyDescent="0.3">
      <c r="A16">
        <v>5</v>
      </c>
      <c r="B16" t="s">
        <v>44</v>
      </c>
      <c r="C16" t="s">
        <v>61</v>
      </c>
      <c r="D16" s="2">
        <v>3560.28</v>
      </c>
      <c r="F16" t="s">
        <v>59</v>
      </c>
      <c r="G16" t="s">
        <v>60</v>
      </c>
    </row>
    <row r="17" spans="1:7" x14ac:dyDescent="0.3">
      <c r="A17">
        <v>5</v>
      </c>
      <c r="B17" t="s">
        <v>44</v>
      </c>
      <c r="C17" t="s">
        <v>40</v>
      </c>
      <c r="E17" s="2">
        <v>3560.28</v>
      </c>
      <c r="F17" t="s">
        <v>62</v>
      </c>
      <c r="G17" t="s">
        <v>62</v>
      </c>
    </row>
    <row r="18" spans="1:7" x14ac:dyDescent="0.3">
      <c r="A18">
        <v>6</v>
      </c>
      <c r="B18" t="s">
        <v>44</v>
      </c>
      <c r="C18" t="s">
        <v>63</v>
      </c>
      <c r="D18" s="2">
        <v>2967.65</v>
      </c>
      <c r="F18" t="s">
        <v>59</v>
      </c>
      <c r="G18" t="s">
        <v>60</v>
      </c>
    </row>
    <row r="19" spans="1:7" x14ac:dyDescent="0.3">
      <c r="A19">
        <v>7</v>
      </c>
      <c r="B19" t="s">
        <v>44</v>
      </c>
      <c r="C19" t="s">
        <v>64</v>
      </c>
      <c r="D19" s="2">
        <v>1361.28</v>
      </c>
      <c r="F19" t="s">
        <v>59</v>
      </c>
      <c r="G19" t="s">
        <v>60</v>
      </c>
    </row>
    <row r="20" spans="1:7" x14ac:dyDescent="0.3">
      <c r="A20">
        <v>8</v>
      </c>
      <c r="B20" t="s">
        <v>44</v>
      </c>
      <c r="C20" t="s">
        <v>65</v>
      </c>
      <c r="D20" s="2">
        <v>1778.81</v>
      </c>
      <c r="F20" t="s">
        <v>59</v>
      </c>
      <c r="G20" t="s">
        <v>60</v>
      </c>
    </row>
    <row r="21" spans="1:7" x14ac:dyDescent="0.3">
      <c r="A21">
        <v>9</v>
      </c>
      <c r="B21" t="s">
        <v>44</v>
      </c>
      <c r="C21" t="s">
        <v>66</v>
      </c>
      <c r="D21" s="2">
        <v>763.33</v>
      </c>
      <c r="F21" t="s">
        <v>59</v>
      </c>
      <c r="G21" t="s">
        <v>60</v>
      </c>
    </row>
    <row r="22" spans="1:7" x14ac:dyDescent="0.3">
      <c r="A22">
        <v>10</v>
      </c>
      <c r="B22" t="s">
        <v>44</v>
      </c>
      <c r="C22" t="s">
        <v>67</v>
      </c>
      <c r="D22" s="2">
        <v>447.41</v>
      </c>
      <c r="F22" t="s">
        <v>59</v>
      </c>
      <c r="G22" t="s">
        <v>60</v>
      </c>
    </row>
    <row r="23" spans="1:7" x14ac:dyDescent="0.3">
      <c r="A23">
        <v>11</v>
      </c>
      <c r="B23" t="s">
        <v>44</v>
      </c>
      <c r="C23" t="s">
        <v>68</v>
      </c>
      <c r="D23" s="2">
        <v>217.85</v>
      </c>
      <c r="F23" t="s">
        <v>59</v>
      </c>
      <c r="G23" t="s">
        <v>60</v>
      </c>
    </row>
    <row r="24" spans="1:7" x14ac:dyDescent="0.3">
      <c r="A24">
        <v>12</v>
      </c>
      <c r="B24" t="s">
        <v>44</v>
      </c>
      <c r="C24" t="s">
        <v>69</v>
      </c>
      <c r="D24" s="2">
        <v>396.27</v>
      </c>
      <c r="F24" t="s">
        <v>59</v>
      </c>
      <c r="G24" t="s">
        <v>60</v>
      </c>
    </row>
    <row r="25" spans="1:7" x14ac:dyDescent="0.3">
      <c r="A25">
        <v>13</v>
      </c>
      <c r="B25" t="s">
        <v>44</v>
      </c>
      <c r="C25" t="s">
        <v>70</v>
      </c>
      <c r="D25" s="2">
        <v>229.42</v>
      </c>
      <c r="F25" t="s">
        <v>59</v>
      </c>
      <c r="G25" t="s">
        <v>60</v>
      </c>
    </row>
    <row r="26" spans="1:7" x14ac:dyDescent="0.3">
      <c r="A26">
        <v>14</v>
      </c>
      <c r="B26" t="s">
        <v>44</v>
      </c>
      <c r="C26" t="s">
        <v>71</v>
      </c>
      <c r="D26" s="2">
        <v>364.61</v>
      </c>
      <c r="F26" t="s">
        <v>59</v>
      </c>
      <c r="G26" t="s">
        <v>60</v>
      </c>
    </row>
    <row r="27" spans="1:7" x14ac:dyDescent="0.3">
      <c r="A27">
        <v>15</v>
      </c>
      <c r="B27" t="s">
        <v>44</v>
      </c>
      <c r="C27" t="s">
        <v>72</v>
      </c>
      <c r="D27" s="2">
        <v>181.29</v>
      </c>
      <c r="F27" t="s">
        <v>59</v>
      </c>
      <c r="G27" t="s">
        <v>60</v>
      </c>
    </row>
    <row r="28" spans="1:7" x14ac:dyDescent="0.3">
      <c r="A28">
        <v>16</v>
      </c>
      <c r="B28" t="s">
        <v>44</v>
      </c>
      <c r="C28" t="s">
        <v>42</v>
      </c>
      <c r="E28" s="2">
        <v>12750.51</v>
      </c>
      <c r="F28" t="s">
        <v>73</v>
      </c>
      <c r="G28" t="s">
        <v>74</v>
      </c>
    </row>
    <row r="29" spans="1:7" x14ac:dyDescent="0.3">
      <c r="A29">
        <v>17</v>
      </c>
      <c r="B29" t="s">
        <v>44</v>
      </c>
      <c r="C29" t="s">
        <v>42</v>
      </c>
      <c r="D29" s="2">
        <v>54740.97</v>
      </c>
      <c r="F29" t="s">
        <v>75</v>
      </c>
      <c r="G29" t="s">
        <v>47</v>
      </c>
    </row>
    <row r="30" spans="1:7" x14ac:dyDescent="0.3">
      <c r="A30">
        <v>17</v>
      </c>
      <c r="B30" t="s">
        <v>44</v>
      </c>
      <c r="C30" t="s">
        <v>45</v>
      </c>
      <c r="E30" s="2">
        <v>54740.97</v>
      </c>
      <c r="F30" t="s">
        <v>76</v>
      </c>
      <c r="G30" t="s">
        <v>47</v>
      </c>
    </row>
    <row r="31" spans="1:7" x14ac:dyDescent="0.3">
      <c r="A31">
        <v>18</v>
      </c>
      <c r="B31" t="s">
        <v>44</v>
      </c>
      <c r="C31" t="s">
        <v>77</v>
      </c>
      <c r="D31" s="2">
        <v>1.95</v>
      </c>
      <c r="F31" t="s">
        <v>78</v>
      </c>
      <c r="G31" t="s">
        <v>47</v>
      </c>
    </row>
    <row r="32" spans="1:7" x14ac:dyDescent="0.3">
      <c r="A32">
        <v>18</v>
      </c>
      <c r="B32" t="s">
        <v>44</v>
      </c>
      <c r="C32" t="s">
        <v>45</v>
      </c>
      <c r="E32" s="2">
        <v>1.95</v>
      </c>
      <c r="F32" t="s">
        <v>79</v>
      </c>
      <c r="G32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/>
  </sheetViews>
  <sheetFormatPr defaultRowHeight="14.4" x14ac:dyDescent="0.3"/>
  <cols>
    <col min="1" max="1" width="46.6640625" customWidth="1"/>
    <col min="2" max="3" width="13.6640625" customWidth="1"/>
  </cols>
  <sheetData>
    <row r="1" spans="1:3" ht="18" customHeight="1" x14ac:dyDescent="0.35">
      <c r="A1" s="3" t="s">
        <v>80</v>
      </c>
    </row>
    <row r="3" spans="1:3" x14ac:dyDescent="0.3">
      <c r="A3" s="1" t="s">
        <v>29</v>
      </c>
      <c r="B3" s="1" t="s">
        <v>30</v>
      </c>
      <c r="C3" s="1" t="s">
        <v>31</v>
      </c>
    </row>
    <row r="4" spans="1:3" x14ac:dyDescent="0.3">
      <c r="A4" t="s">
        <v>48</v>
      </c>
      <c r="B4" s="2">
        <v>4746</v>
      </c>
    </row>
    <row r="5" spans="1:3" x14ac:dyDescent="0.3">
      <c r="A5" t="s">
        <v>40</v>
      </c>
      <c r="C5" s="2">
        <v>5980.28</v>
      </c>
    </row>
    <row r="6" spans="1:3" x14ac:dyDescent="0.3">
      <c r="A6" t="s">
        <v>45</v>
      </c>
      <c r="B6" s="2">
        <v>3932.68</v>
      </c>
    </row>
    <row r="7" spans="1:3" x14ac:dyDescent="0.3">
      <c r="A7" t="s">
        <v>72</v>
      </c>
      <c r="B7" s="2">
        <v>181.29</v>
      </c>
    </row>
    <row r="8" spans="1:3" x14ac:dyDescent="0.3">
      <c r="A8" t="s">
        <v>63</v>
      </c>
      <c r="B8" s="2">
        <v>2967.65</v>
      </c>
    </row>
    <row r="9" spans="1:3" x14ac:dyDescent="0.3">
      <c r="A9" t="s">
        <v>64</v>
      </c>
      <c r="B9" s="2">
        <v>1361.28</v>
      </c>
    </row>
    <row r="10" spans="1:3" x14ac:dyDescent="0.3">
      <c r="A10" t="s">
        <v>39</v>
      </c>
      <c r="B10" s="2">
        <v>6380</v>
      </c>
    </row>
    <row r="11" spans="1:3" x14ac:dyDescent="0.3">
      <c r="A11" t="s">
        <v>51</v>
      </c>
      <c r="C11" s="2">
        <v>57729.34</v>
      </c>
    </row>
    <row r="12" spans="1:3" x14ac:dyDescent="0.3">
      <c r="A12" t="s">
        <v>61</v>
      </c>
      <c r="B12" s="2">
        <v>3560.28</v>
      </c>
    </row>
    <row r="13" spans="1:3" x14ac:dyDescent="0.3">
      <c r="A13" t="s">
        <v>41</v>
      </c>
      <c r="C13" s="2">
        <v>8186.52</v>
      </c>
    </row>
    <row r="14" spans="1:3" x14ac:dyDescent="0.3">
      <c r="A14" t="s">
        <v>38</v>
      </c>
      <c r="B14" s="2">
        <v>71.14</v>
      </c>
    </row>
    <row r="15" spans="1:3" x14ac:dyDescent="0.3">
      <c r="A15" t="s">
        <v>77</v>
      </c>
      <c r="B15" s="2">
        <v>1.95</v>
      </c>
    </row>
    <row r="16" spans="1:3" x14ac:dyDescent="0.3">
      <c r="A16" t="s">
        <v>71</v>
      </c>
      <c r="B16" s="2">
        <v>364.61</v>
      </c>
    </row>
    <row r="17" spans="1:3" x14ac:dyDescent="0.3">
      <c r="A17" t="s">
        <v>58</v>
      </c>
      <c r="B17" s="2">
        <v>4042.59</v>
      </c>
    </row>
    <row r="18" spans="1:3" x14ac:dyDescent="0.3">
      <c r="A18" t="s">
        <v>65</v>
      </c>
      <c r="B18" s="2">
        <v>1778.81</v>
      </c>
    </row>
    <row r="19" spans="1:3" x14ac:dyDescent="0.3">
      <c r="A19" t="s">
        <v>68</v>
      </c>
      <c r="B19" s="2">
        <v>217.85</v>
      </c>
    </row>
    <row r="20" spans="1:3" x14ac:dyDescent="0.3">
      <c r="A20" t="s">
        <v>70</v>
      </c>
      <c r="B20" s="2">
        <v>229.42</v>
      </c>
    </row>
    <row r="21" spans="1:3" x14ac:dyDescent="0.3">
      <c r="A21" t="s">
        <v>43</v>
      </c>
      <c r="B21" s="2">
        <v>4012.53</v>
      </c>
    </row>
    <row r="22" spans="1:3" x14ac:dyDescent="0.3">
      <c r="A22" t="s">
        <v>42</v>
      </c>
      <c r="B22" s="2">
        <v>35809.629999999997</v>
      </c>
    </row>
    <row r="23" spans="1:3" x14ac:dyDescent="0.3">
      <c r="A23" t="s">
        <v>35</v>
      </c>
      <c r="B23" s="2">
        <v>631.41999999999996</v>
      </c>
    </row>
    <row r="24" spans="1:3" x14ac:dyDescent="0.3">
      <c r="A24" t="s">
        <v>67</v>
      </c>
      <c r="B24" s="2">
        <v>447.41</v>
      </c>
    </row>
    <row r="25" spans="1:3" x14ac:dyDescent="0.3">
      <c r="A25" t="s">
        <v>66</v>
      </c>
      <c r="B25" s="2">
        <v>763.33</v>
      </c>
    </row>
    <row r="26" spans="1:3" x14ac:dyDescent="0.3">
      <c r="A26" t="s">
        <v>69</v>
      </c>
      <c r="B26" s="2">
        <v>396.27</v>
      </c>
    </row>
    <row r="27" spans="1:3" x14ac:dyDescent="0.3">
      <c r="A27" s="4" t="s">
        <v>81</v>
      </c>
      <c r="B27" s="5">
        <v>71896.14</v>
      </c>
      <c r="C27" s="5">
        <v>71896.14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"/>
  <sheetViews>
    <sheetView workbookViewId="0">
      <selection activeCell="B27" sqref="B27"/>
    </sheetView>
  </sheetViews>
  <sheetFormatPr defaultRowHeight="14.4" x14ac:dyDescent="0.3"/>
  <cols>
    <col min="1" max="1" width="42.6640625" customWidth="1"/>
    <col min="2" max="3" width="13.6640625" customWidth="1"/>
  </cols>
  <sheetData>
    <row r="1" spans="1:5" ht="18" customHeight="1" x14ac:dyDescent="0.35">
      <c r="A1" s="3" t="s">
        <v>0</v>
      </c>
    </row>
    <row r="3" spans="1:5" x14ac:dyDescent="0.3">
      <c r="A3" s="4" t="s">
        <v>1</v>
      </c>
    </row>
    <row r="4" spans="1:5" x14ac:dyDescent="0.3">
      <c r="A4" t="s">
        <v>2</v>
      </c>
      <c r="B4" s="2">
        <v>55954.27</v>
      </c>
      <c r="C4" s="2">
        <v>55954.27</v>
      </c>
      <c r="E4">
        <v>8000</v>
      </c>
    </row>
    <row r="5" spans="1:5" x14ac:dyDescent="0.3">
      <c r="A5" t="s">
        <v>3</v>
      </c>
      <c r="B5" s="2">
        <v>1775.07</v>
      </c>
      <c r="C5" s="2">
        <v>1775.07</v>
      </c>
      <c r="E5">
        <v>8000</v>
      </c>
    </row>
    <row r="6" spans="1:5" x14ac:dyDescent="0.3">
      <c r="A6" s="4" t="s">
        <v>4</v>
      </c>
      <c r="B6" s="5">
        <v>57729.34</v>
      </c>
      <c r="C6" s="5">
        <v>57729.34</v>
      </c>
    </row>
    <row r="8" spans="1:5" x14ac:dyDescent="0.3">
      <c r="A8" s="4" t="s">
        <v>5</v>
      </c>
      <c r="E8" t="s">
        <v>6</v>
      </c>
    </row>
    <row r="9" spans="1:5" x14ac:dyDescent="0.3">
      <c r="A9" t="s">
        <v>7</v>
      </c>
      <c r="B9" s="7">
        <v>576.14</v>
      </c>
      <c r="E9">
        <v>8520</v>
      </c>
    </row>
    <row r="10" spans="1:5" x14ac:dyDescent="0.3">
      <c r="A10" t="s">
        <v>8</v>
      </c>
      <c r="B10" s="7">
        <v>379.01</v>
      </c>
      <c r="E10">
        <v>8760</v>
      </c>
    </row>
    <row r="11" spans="1:5" x14ac:dyDescent="0.3">
      <c r="A11" t="s">
        <v>9</v>
      </c>
      <c r="B11" s="6">
        <v>3042.59</v>
      </c>
      <c r="C11" s="2">
        <v>4042.59</v>
      </c>
      <c r="E11">
        <v>9281</v>
      </c>
    </row>
    <row r="12" spans="1:5" x14ac:dyDescent="0.3">
      <c r="A12" t="s">
        <v>10</v>
      </c>
      <c r="B12" s="8">
        <v>2413.5</v>
      </c>
      <c r="C12" s="2">
        <v>3560.28</v>
      </c>
      <c r="E12">
        <v>8670</v>
      </c>
    </row>
    <row r="13" spans="1:5" x14ac:dyDescent="0.3">
      <c r="A13" t="s">
        <v>11</v>
      </c>
      <c r="B13" s="8">
        <v>2967.65</v>
      </c>
      <c r="C13" s="2">
        <v>2967.65</v>
      </c>
      <c r="E13">
        <v>9200</v>
      </c>
    </row>
    <row r="14" spans="1:5" x14ac:dyDescent="0.3">
      <c r="A14" t="s">
        <v>12</v>
      </c>
      <c r="B14" s="8">
        <v>297</v>
      </c>
      <c r="C14" s="2"/>
      <c r="E14">
        <v>9274</v>
      </c>
    </row>
    <row r="15" spans="1:5" x14ac:dyDescent="0.3">
      <c r="A15" t="s">
        <v>134</v>
      </c>
      <c r="B15" s="8">
        <v>460</v>
      </c>
      <c r="C15" s="2"/>
    </row>
    <row r="16" spans="1:5" x14ac:dyDescent="0.3">
      <c r="A16" t="s">
        <v>13</v>
      </c>
      <c r="B16" s="8">
        <v>1481.28</v>
      </c>
      <c r="C16" s="2">
        <v>1361.28</v>
      </c>
      <c r="E16">
        <v>8811</v>
      </c>
    </row>
    <row r="17" spans="1:5" x14ac:dyDescent="0.3">
      <c r="A17" t="s">
        <v>14</v>
      </c>
      <c r="B17" s="8">
        <v>1778.81</v>
      </c>
      <c r="C17" s="2">
        <v>1778.81</v>
      </c>
      <c r="D17" s="2">
        <f>C17-565</f>
        <v>1213.81</v>
      </c>
      <c r="E17">
        <v>8860</v>
      </c>
    </row>
    <row r="18" spans="1:5" x14ac:dyDescent="0.3">
      <c r="A18" t="s">
        <v>15</v>
      </c>
      <c r="B18" s="8">
        <v>863.33</v>
      </c>
      <c r="C18" s="2">
        <v>763.33</v>
      </c>
      <c r="E18">
        <v>9210</v>
      </c>
    </row>
    <row r="19" spans="1:5" x14ac:dyDescent="0.3">
      <c r="A19" t="s">
        <v>16</v>
      </c>
      <c r="B19" s="8">
        <v>647.41</v>
      </c>
      <c r="C19" s="2">
        <v>447.41</v>
      </c>
      <c r="E19">
        <v>9225</v>
      </c>
    </row>
    <row r="20" spans="1:5" x14ac:dyDescent="0.3">
      <c r="A20" t="s">
        <v>17</v>
      </c>
      <c r="B20" s="8">
        <v>254.62</v>
      </c>
      <c r="C20" s="2">
        <v>217.85</v>
      </c>
      <c r="D20" s="2"/>
      <c r="E20">
        <v>9180</v>
      </c>
    </row>
    <row r="21" spans="1:5" x14ac:dyDescent="0.3">
      <c r="A21" t="s">
        <v>18</v>
      </c>
      <c r="B21" s="8">
        <v>374.55</v>
      </c>
      <c r="C21" s="2">
        <v>396.27</v>
      </c>
      <c r="E21">
        <v>9220</v>
      </c>
    </row>
    <row r="22" spans="1:5" x14ac:dyDescent="0.3">
      <c r="A22" t="s">
        <v>19</v>
      </c>
      <c r="B22" s="8">
        <v>229</v>
      </c>
      <c r="C22" s="2">
        <v>229.42</v>
      </c>
      <c r="D22" s="2">
        <f>B22+137.86</f>
        <v>366.86</v>
      </c>
      <c r="E22">
        <v>8960</v>
      </c>
    </row>
    <row r="23" spans="1:5" x14ac:dyDescent="0.3">
      <c r="A23" t="s">
        <v>20</v>
      </c>
      <c r="B23" s="8">
        <v>364.61</v>
      </c>
      <c r="C23" s="2">
        <v>364.61</v>
      </c>
      <c r="E23">
        <v>8523</v>
      </c>
    </row>
    <row r="24" spans="1:5" x14ac:dyDescent="0.3">
      <c r="A24" t="s">
        <v>21</v>
      </c>
      <c r="B24" s="8">
        <v>181.29</v>
      </c>
      <c r="C24" s="2">
        <v>181.29</v>
      </c>
      <c r="E24">
        <v>8714</v>
      </c>
    </row>
    <row r="25" spans="1:5" x14ac:dyDescent="0.3">
      <c r="A25" s="4" t="s">
        <v>22</v>
      </c>
      <c r="B25" s="5">
        <f>SUM(B9:B24)</f>
        <v>16310.79</v>
      </c>
      <c r="C25" s="5">
        <v>16310.79</v>
      </c>
      <c r="D25" s="2">
        <f>B25-C25</f>
        <v>0</v>
      </c>
    </row>
    <row r="27" spans="1:5" x14ac:dyDescent="0.3">
      <c r="A27" s="4" t="s">
        <v>23</v>
      </c>
      <c r="B27" s="5">
        <f>B6-B25</f>
        <v>41418.549999999996</v>
      </c>
      <c r="C27" s="5">
        <v>41418.550000000003</v>
      </c>
      <c r="D27" s="2">
        <f>B27-C27</f>
        <v>0</v>
      </c>
    </row>
    <row r="28" spans="1:5" x14ac:dyDescent="0.3">
      <c r="A28" s="4" t="s">
        <v>24</v>
      </c>
      <c r="B28" s="5">
        <v>5053.0600000000004</v>
      </c>
      <c r="C28" s="5">
        <v>5053.0600000000004</v>
      </c>
    </row>
    <row r="29" spans="1:5" x14ac:dyDescent="0.3">
      <c r="A29" t="s">
        <v>25</v>
      </c>
      <c r="B29" s="2">
        <v>2620.4299999999998</v>
      </c>
      <c r="C29" s="2">
        <v>2620.4299999999998</v>
      </c>
    </row>
    <row r="30" spans="1:5" x14ac:dyDescent="0.3">
      <c r="A30" s="4" t="s">
        <v>26</v>
      </c>
      <c r="B30" s="5">
        <v>2432.63</v>
      </c>
      <c r="C30" s="5">
        <v>2432.63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tabSelected="1" workbookViewId="0">
      <selection activeCell="B24" sqref="B24"/>
    </sheetView>
  </sheetViews>
  <sheetFormatPr defaultRowHeight="14.4" x14ac:dyDescent="0.3"/>
  <cols>
    <col min="1" max="1" width="46.6640625" customWidth="1"/>
    <col min="2" max="2" width="13.6640625" customWidth="1"/>
  </cols>
  <sheetData>
    <row r="1" spans="1:5" ht="18" customHeight="1" x14ac:dyDescent="0.35">
      <c r="A1" s="3" t="s">
        <v>82</v>
      </c>
    </row>
    <row r="3" spans="1:5" x14ac:dyDescent="0.3">
      <c r="A3" s="4" t="s">
        <v>83</v>
      </c>
      <c r="E3" t="s">
        <v>6</v>
      </c>
    </row>
    <row r="4" spans="1:5" x14ac:dyDescent="0.3">
      <c r="A4" t="s">
        <v>35</v>
      </c>
      <c r="B4" s="8">
        <v>631.41999999999996</v>
      </c>
      <c r="E4">
        <v>1001</v>
      </c>
    </row>
    <row r="5" spans="1:5" x14ac:dyDescent="0.3">
      <c r="A5" t="s">
        <v>45</v>
      </c>
      <c r="B5" s="8">
        <v>3932.68</v>
      </c>
      <c r="E5">
        <v>1001</v>
      </c>
    </row>
    <row r="6" spans="1:5" x14ac:dyDescent="0.3">
      <c r="A6" t="s">
        <v>77</v>
      </c>
      <c r="B6" s="8">
        <v>1.95</v>
      </c>
      <c r="C6" s="2">
        <f>SUM(B4:B6)</f>
        <v>4566.0499999999993</v>
      </c>
      <c r="E6">
        <v>1001</v>
      </c>
    </row>
    <row r="7" spans="1:5" x14ac:dyDescent="0.3">
      <c r="A7" t="s">
        <v>48</v>
      </c>
      <c r="B7" s="8">
        <v>4746</v>
      </c>
      <c r="C7" s="2">
        <f>C6+B7</f>
        <v>9312.0499999999993</v>
      </c>
      <c r="E7">
        <v>1060</v>
      </c>
    </row>
    <row r="8" spans="1:5" x14ac:dyDescent="0.3">
      <c r="A8" t="s">
        <v>38</v>
      </c>
      <c r="B8" s="8">
        <v>71.14</v>
      </c>
      <c r="C8" s="2">
        <f>C7+B8</f>
        <v>9383.1899999999987</v>
      </c>
      <c r="D8" t="s">
        <v>84</v>
      </c>
      <c r="E8">
        <v>1067</v>
      </c>
    </row>
    <row r="9" spans="1:5" x14ac:dyDescent="0.3">
      <c r="A9" t="s">
        <v>39</v>
      </c>
      <c r="B9" s="2">
        <v>6380</v>
      </c>
      <c r="E9">
        <v>1740</v>
      </c>
    </row>
    <row r="10" spans="1:5" x14ac:dyDescent="0.3">
      <c r="A10" t="s">
        <v>40</v>
      </c>
      <c r="B10" s="2">
        <v>-3737.5</v>
      </c>
      <c r="E10">
        <v>1741</v>
      </c>
    </row>
    <row r="11" spans="1:5" x14ac:dyDescent="0.3">
      <c r="A11" t="s">
        <v>85</v>
      </c>
      <c r="B11" s="8">
        <v>33566.85</v>
      </c>
      <c r="E11">
        <v>1300</v>
      </c>
    </row>
    <row r="12" spans="1:5" x14ac:dyDescent="0.3">
      <c r="A12" s="4" t="s">
        <v>86</v>
      </c>
      <c r="B12" s="5">
        <f>SUM(B4:B11)</f>
        <v>45592.539999999994</v>
      </c>
      <c r="C12">
        <v>46472</v>
      </c>
      <c r="D12" s="2">
        <f>C12-B12</f>
        <v>879.4600000000064</v>
      </c>
    </row>
    <row r="13" spans="1:5" x14ac:dyDescent="0.3">
      <c r="B13" s="2"/>
    </row>
    <row r="14" spans="1:5" x14ac:dyDescent="0.3">
      <c r="A14" s="4" t="s">
        <v>87</v>
      </c>
    </row>
    <row r="15" spans="1:5" x14ac:dyDescent="0.3">
      <c r="A15" t="s">
        <v>88</v>
      </c>
      <c r="B15" s="2">
        <v>8186.52</v>
      </c>
      <c r="E15">
        <v>2620</v>
      </c>
    </row>
    <row r="16" spans="1:5" x14ac:dyDescent="0.3">
      <c r="A16" s="4" t="s">
        <v>89</v>
      </c>
      <c r="B16" s="5">
        <v>8186.52</v>
      </c>
    </row>
    <row r="18" spans="1:5" x14ac:dyDescent="0.3">
      <c r="A18" s="4" t="s">
        <v>90</v>
      </c>
    </row>
    <row r="19" spans="1:5" x14ac:dyDescent="0.3">
      <c r="A19" t="s">
        <v>91</v>
      </c>
      <c r="B19" s="2">
        <v>-4012.53</v>
      </c>
      <c r="E19">
        <v>3600</v>
      </c>
    </row>
    <row r="20" spans="1:5" x14ac:dyDescent="0.3">
      <c r="A20" t="s">
        <v>92</v>
      </c>
      <c r="B20" s="2">
        <v>41418.550000000003</v>
      </c>
      <c r="E20">
        <v>3600</v>
      </c>
    </row>
    <row r="21" spans="1:5" x14ac:dyDescent="0.3">
      <c r="A21" s="4" t="s">
        <v>93</v>
      </c>
      <c r="B21" s="5">
        <v>37406.019999999997</v>
      </c>
    </row>
    <row r="23" spans="1:5" x14ac:dyDescent="0.3">
      <c r="A23" s="4" t="s">
        <v>94</v>
      </c>
      <c r="B23" s="5">
        <f>B21+B16-B12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"/>
  <sheetViews>
    <sheetView workbookViewId="0"/>
  </sheetViews>
  <sheetFormatPr defaultRowHeight="14.4" x14ac:dyDescent="0.3"/>
  <cols>
    <col min="1" max="1" width="9.6640625" customWidth="1"/>
    <col min="2" max="2" width="46.6640625" customWidth="1"/>
    <col min="3" max="3" width="13.6640625" customWidth="1"/>
  </cols>
  <sheetData>
    <row r="1" spans="1:3" ht="18" customHeight="1" x14ac:dyDescent="0.35">
      <c r="A1" s="3" t="s">
        <v>95</v>
      </c>
    </row>
    <row r="3" spans="1:3" x14ac:dyDescent="0.3">
      <c r="A3" s="4" t="s">
        <v>96</v>
      </c>
    </row>
    <row r="4" spans="1:3" x14ac:dyDescent="0.3">
      <c r="A4" s="1" t="s">
        <v>6</v>
      </c>
      <c r="B4" s="1" t="s">
        <v>97</v>
      </c>
      <c r="C4" s="1" t="s">
        <v>98</v>
      </c>
    </row>
    <row r="5" spans="1:3" x14ac:dyDescent="0.3">
      <c r="A5" t="s">
        <v>99</v>
      </c>
      <c r="B5" t="s">
        <v>100</v>
      </c>
      <c r="C5" s="2">
        <v>4566.05</v>
      </c>
    </row>
    <row r="6" spans="1:3" x14ac:dyDescent="0.3">
      <c r="A6" t="s">
        <v>101</v>
      </c>
      <c r="B6" t="s">
        <v>102</v>
      </c>
      <c r="C6" s="2">
        <v>4746</v>
      </c>
    </row>
    <row r="7" spans="1:3" x14ac:dyDescent="0.3">
      <c r="A7" t="s">
        <v>103</v>
      </c>
      <c r="B7" t="s">
        <v>104</v>
      </c>
      <c r="C7" s="2">
        <v>71.14</v>
      </c>
    </row>
    <row r="8" spans="1:3" x14ac:dyDescent="0.3">
      <c r="A8" t="s">
        <v>105</v>
      </c>
      <c r="B8" t="s">
        <v>106</v>
      </c>
      <c r="C8" s="2">
        <v>35809.629999999997</v>
      </c>
    </row>
    <row r="9" spans="1:3" x14ac:dyDescent="0.3">
      <c r="A9" t="s">
        <v>107</v>
      </c>
      <c r="B9" t="s">
        <v>108</v>
      </c>
      <c r="C9" s="2">
        <v>6380</v>
      </c>
    </row>
    <row r="10" spans="1:3" x14ac:dyDescent="0.3">
      <c r="A10" t="s">
        <v>109</v>
      </c>
      <c r="B10" t="s">
        <v>110</v>
      </c>
      <c r="C10" s="2">
        <v>-5980.28</v>
      </c>
    </row>
    <row r="11" spans="1:3" x14ac:dyDescent="0.3">
      <c r="A11" t="s">
        <v>111</v>
      </c>
      <c r="B11" t="s">
        <v>112</v>
      </c>
      <c r="C11" s="2">
        <v>8186.52</v>
      </c>
    </row>
    <row r="12" spans="1:3" x14ac:dyDescent="0.3">
      <c r="A12" t="s">
        <v>113</v>
      </c>
      <c r="B12" t="s">
        <v>114</v>
      </c>
      <c r="C12" s="2">
        <v>37406.019999999997</v>
      </c>
    </row>
    <row r="14" spans="1:3" x14ac:dyDescent="0.3">
      <c r="A14" s="4" t="s">
        <v>115</v>
      </c>
    </row>
    <row r="15" spans="1:3" x14ac:dyDescent="0.3">
      <c r="A15" s="1" t="s">
        <v>6</v>
      </c>
      <c r="B15" s="1" t="s">
        <v>97</v>
      </c>
      <c r="C15" s="1" t="s">
        <v>98</v>
      </c>
    </row>
    <row r="16" spans="1:3" x14ac:dyDescent="0.3">
      <c r="A16" t="s">
        <v>116</v>
      </c>
      <c r="B16" t="s">
        <v>117</v>
      </c>
      <c r="C16" s="2">
        <v>57729.34</v>
      </c>
    </row>
    <row r="17" spans="1:3" x14ac:dyDescent="0.3">
      <c r="A17" t="s">
        <v>118</v>
      </c>
      <c r="B17" t="s">
        <v>58</v>
      </c>
      <c r="C17" s="2">
        <v>4042.59</v>
      </c>
    </row>
    <row r="18" spans="1:3" x14ac:dyDescent="0.3">
      <c r="A18" t="s">
        <v>119</v>
      </c>
      <c r="B18" t="s">
        <v>61</v>
      </c>
      <c r="C18" s="2">
        <v>3560.28</v>
      </c>
    </row>
    <row r="19" spans="1:3" x14ac:dyDescent="0.3">
      <c r="A19" t="s">
        <v>120</v>
      </c>
      <c r="B19" t="s">
        <v>63</v>
      </c>
      <c r="C19" s="2">
        <v>2967.65</v>
      </c>
    </row>
    <row r="20" spans="1:3" x14ac:dyDescent="0.3">
      <c r="A20" t="s">
        <v>121</v>
      </c>
      <c r="B20" t="s">
        <v>64</v>
      </c>
      <c r="C20" s="2">
        <v>1361.28</v>
      </c>
    </row>
    <row r="21" spans="1:3" x14ac:dyDescent="0.3">
      <c r="A21" t="s">
        <v>122</v>
      </c>
      <c r="B21" t="s">
        <v>65</v>
      </c>
      <c r="C21" s="2">
        <v>1778.81</v>
      </c>
    </row>
    <row r="22" spans="1:3" x14ac:dyDescent="0.3">
      <c r="A22" t="s">
        <v>123</v>
      </c>
      <c r="B22" t="s">
        <v>66</v>
      </c>
      <c r="C22" s="2">
        <v>763.33</v>
      </c>
    </row>
    <row r="23" spans="1:3" x14ac:dyDescent="0.3">
      <c r="A23" t="s">
        <v>124</v>
      </c>
      <c r="B23" t="s">
        <v>67</v>
      </c>
      <c r="C23" s="2">
        <v>447.41</v>
      </c>
    </row>
    <row r="24" spans="1:3" x14ac:dyDescent="0.3">
      <c r="A24" t="s">
        <v>125</v>
      </c>
      <c r="B24" t="s">
        <v>68</v>
      </c>
      <c r="C24" s="2">
        <v>217.85</v>
      </c>
    </row>
    <row r="25" spans="1:3" x14ac:dyDescent="0.3">
      <c r="A25" t="s">
        <v>126</v>
      </c>
      <c r="B25" t="s">
        <v>69</v>
      </c>
      <c r="C25" s="2">
        <v>396.27</v>
      </c>
    </row>
    <row r="26" spans="1:3" x14ac:dyDescent="0.3">
      <c r="A26" t="s">
        <v>127</v>
      </c>
      <c r="B26" t="s">
        <v>70</v>
      </c>
      <c r="C26" s="2">
        <v>229.42</v>
      </c>
    </row>
    <row r="27" spans="1:3" x14ac:dyDescent="0.3">
      <c r="A27" t="s">
        <v>128</v>
      </c>
      <c r="B27" t="s">
        <v>71</v>
      </c>
      <c r="C27" s="2">
        <v>364.61</v>
      </c>
    </row>
    <row r="28" spans="1:3" x14ac:dyDescent="0.3">
      <c r="A28" t="s">
        <v>129</v>
      </c>
      <c r="B28" t="s">
        <v>72</v>
      </c>
      <c r="C28" s="2">
        <v>181.29</v>
      </c>
    </row>
    <row r="29" spans="1:3" x14ac:dyDescent="0.3">
      <c r="A29" t="s">
        <v>130</v>
      </c>
      <c r="B29" s="4" t="s">
        <v>131</v>
      </c>
      <c r="C29" s="5">
        <v>16310.79</v>
      </c>
    </row>
    <row r="30" spans="1:3" x14ac:dyDescent="0.3">
      <c r="A30" t="s">
        <v>132</v>
      </c>
      <c r="B30" s="4" t="s">
        <v>133</v>
      </c>
      <c r="C30" s="5">
        <v>41418.550000000003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Journal Entries</vt:lpstr>
      <vt:lpstr>Trial Balance</vt:lpstr>
      <vt:lpstr>Income Statement</vt:lpstr>
      <vt:lpstr>Balance Sheet</vt:lpstr>
      <vt:lpstr>GIFI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 reny</cp:lastModifiedBy>
  <dcterms:created xsi:type="dcterms:W3CDTF">2026-06-30T07:16:30Z</dcterms:created>
  <dcterms:modified xsi:type="dcterms:W3CDTF">2026-06-30T21:03:23Z</dcterms:modified>
</cp:coreProperties>
</file>