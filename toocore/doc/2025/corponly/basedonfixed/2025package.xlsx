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Journal Entries" sheetId="1" state="visible" r:id="rId1"/>
    <sheet name="General Ledg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004472C4"/>
        <bgColor rgb="004472C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4" fontId="0" fillId="0" borderId="0" pivotButton="0" quotePrefix="0" xfId="0"/>
    <xf numFmtId="4" fontId="2" fillId="0" borderId="2" pivotButton="0" quotePrefix="0" xfId="0"/>
    <xf numFmtId="4" fontId="0" fillId="0" borderId="0" pivotButton="0" quotePrefix="0" xfId="0"/>
    <xf numFmtId="4" fontId="2" fillId="0" borderId="2" pivotButton="0" quotePrefix="0" xfId="0"/>
    <xf numFmtId="0" fontId="3" fillId="3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tabSelected="1" workbookViewId="0">
      <selection activeCell="A1" sqref="A1"/>
    </sheetView>
  </sheetViews>
  <sheetFormatPr baseColWidth="8" defaultRowHeight="15"/>
  <cols>
    <col width="8.7109375" customWidth="1" min="1" max="1"/>
    <col width="12.7109375" customWidth="1" min="2" max="2"/>
    <col width="50.7109375" customWidth="1" min="3" max="3"/>
    <col width="12.7109375" customWidth="1" min="4" max="5"/>
    <col width="50.7109375" customWidth="1" min="6" max="6"/>
    <col width="20.7109375" customWidth="1" min="7" max="7"/>
  </cols>
  <sheetData>
    <row r="1">
      <c r="A1" s="1" t="inlineStr">
        <is>
          <t>Entry</t>
        </is>
      </c>
      <c r="B1" s="1" t="inlineStr">
        <is>
          <t>Date</t>
        </is>
      </c>
      <c r="C1" s="1" t="inlineStr">
        <is>
          <t>Account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Memo</t>
        </is>
      </c>
      <c r="G1" s="1" t="inlineStr">
        <is>
          <t>Source</t>
        </is>
      </c>
    </row>
    <row r="2">
      <c r="A2" t="n">
        <v>1</v>
      </c>
      <c r="B2" s="2" t="n">
        <v>45658</v>
      </c>
      <c r="C2" t="inlineStr">
        <is>
          <t>TD Business Chequing (1000)</t>
        </is>
      </c>
      <c r="D2" s="5" t="n">
        <v>631.42</v>
      </c>
      <c r="F2" t="inlineStr">
        <is>
          <t>Opening balance</t>
        </is>
      </c>
      <c r="G2" t="inlineStr">
        <is>
          <t>2024 TB</t>
        </is>
      </c>
    </row>
    <row r="3">
      <c r="A3" t="n">
        <v>1</v>
      </c>
      <c r="B3" s="2" t="n">
        <v>45658</v>
      </c>
      <c r="C3" t="inlineStr">
        <is>
          <t>HST Recoverable (1200)</t>
        </is>
      </c>
      <c r="D3" s="5" t="n">
        <v>71.14</v>
      </c>
      <c r="F3" t="inlineStr">
        <is>
          <t>Opening balance</t>
        </is>
      </c>
      <c r="G3" t="inlineStr">
        <is>
          <t>2024 TB</t>
        </is>
      </c>
    </row>
    <row r="4">
      <c r="A4" t="n">
        <v>1</v>
      </c>
      <c r="B4" s="2" t="n">
        <v>45658</v>
      </c>
      <c r="C4" t="inlineStr">
        <is>
          <t>Computer Hardware (1741)</t>
        </is>
      </c>
      <c r="D4" s="5" t="n">
        <v>6380</v>
      </c>
      <c r="F4" t="inlineStr">
        <is>
          <t>Opening balance</t>
        </is>
      </c>
      <c r="G4" t="inlineStr">
        <is>
          <t>2024 TB</t>
        </is>
      </c>
    </row>
    <row r="5">
      <c r="A5" t="n">
        <v>1</v>
      </c>
      <c r="B5" s="2" t="n">
        <v>45658</v>
      </c>
      <c r="C5" t="inlineStr">
        <is>
          <t>Accumulated Depreciation (1742)</t>
        </is>
      </c>
      <c r="E5" s="5" t="n">
        <v>2420</v>
      </c>
      <c r="F5" t="inlineStr">
        <is>
          <t>Opening balance</t>
        </is>
      </c>
      <c r="G5" t="inlineStr">
        <is>
          <t>2024 TB</t>
        </is>
      </c>
    </row>
    <row r="6">
      <c r="A6" t="n">
        <v>1</v>
      </c>
      <c r="B6" s="2" t="n">
        <v>45658</v>
      </c>
      <c r="C6" t="inlineStr">
        <is>
          <t>HST Payable (2100)</t>
        </is>
      </c>
      <c r="E6" s="5" t="n">
        <v>2945.09</v>
      </c>
      <c r="F6" t="inlineStr">
        <is>
          <t>Opening balance</t>
        </is>
      </c>
      <c r="G6" t="inlineStr">
        <is>
          <t>2024 TB</t>
        </is>
      </c>
    </row>
    <row r="7">
      <c r="A7" t="n">
        <v>1</v>
      </c>
      <c r="B7" s="2" t="n">
        <v>45658</v>
      </c>
      <c r="C7" t="inlineStr">
        <is>
          <t>Shareholder Loan Payable (3640)</t>
        </is>
      </c>
      <c r="E7" s="5" t="n">
        <v>5730</v>
      </c>
      <c r="F7" t="inlineStr">
        <is>
          <t>Opening balance</t>
        </is>
      </c>
      <c r="G7" t="inlineStr">
        <is>
          <t>2024 TB</t>
        </is>
      </c>
    </row>
    <row r="8">
      <c r="A8" t="n">
        <v>1</v>
      </c>
      <c r="B8" s="2" t="n">
        <v>45658</v>
      </c>
      <c r="C8" t="inlineStr">
        <is>
          <t>Retained Earnings (3100)</t>
        </is>
      </c>
      <c r="D8" s="5" t="n">
        <v>4012.530000000001</v>
      </c>
      <c r="F8" t="inlineStr">
        <is>
          <t>Opening equity</t>
        </is>
      </c>
      <c r="G8" t="inlineStr">
        <is>
          <t>2024 TB</t>
        </is>
      </c>
    </row>
    <row r="9">
      <c r="A9" t="n">
        <v>2</v>
      </c>
      <c r="B9" s="2" t="n">
        <v>46022</v>
      </c>
      <c r="C9" t="inlineStr">
        <is>
          <t>BMO Business Chequing (1010)</t>
        </is>
      </c>
      <c r="D9" s="5" t="n">
        <v>61675.6</v>
      </c>
      <c r="F9" t="inlineStr">
        <is>
          <t>Total income 2025</t>
        </is>
      </c>
      <c r="G9" t="inlineStr">
        <is>
          <t>Bank</t>
        </is>
      </c>
    </row>
    <row r="10">
      <c r="A10" t="n">
        <v>2</v>
      </c>
      <c r="B10" s="2" t="n">
        <v>46022</v>
      </c>
      <c r="C10" t="inlineStr">
        <is>
          <t>Corporate Income - Software Engineering (4300)</t>
        </is>
      </c>
      <c r="E10" s="5" t="n">
        <v>54580.17699115045</v>
      </c>
      <c r="F10" t="inlineStr">
        <is>
          <t>Revenue</t>
        </is>
      </c>
      <c r="G10" t="inlineStr">
        <is>
          <t>Bank</t>
        </is>
      </c>
    </row>
    <row r="11">
      <c r="A11" t="n">
        <v>2</v>
      </c>
      <c r="B11" s="2" t="n">
        <v>46022</v>
      </c>
      <c r="C11" t="inlineStr">
        <is>
          <t>HST Payable (2100)</t>
        </is>
      </c>
      <c r="E11" s="5" t="n">
        <v>7095.423008849553</v>
      </c>
      <c r="F11" t="inlineStr">
        <is>
          <t>HST collected</t>
        </is>
      </c>
      <c r="G11" t="inlineStr">
        <is>
          <t>Bank</t>
        </is>
      </c>
    </row>
    <row r="12">
      <c r="A12" t="n">
        <v>3</v>
      </c>
      <c r="B12" s="2" t="n">
        <v>46022</v>
      </c>
      <c r="C12" t="inlineStr">
        <is>
          <t>Vehicle Expense</t>
        </is>
      </c>
      <c r="D12" s="5" t="n">
        <v>6928.41</v>
      </c>
      <c r="F12" t="inlineStr">
        <is>
          <t>Expense</t>
        </is>
      </c>
      <c r="G12" t="inlineStr">
        <is>
          <t>Receipts</t>
        </is>
      </c>
    </row>
    <row r="13">
      <c r="A13" t="n">
        <v>4</v>
      </c>
      <c r="B13" s="2" t="n">
        <v>46022</v>
      </c>
      <c r="C13" t="inlineStr">
        <is>
          <t>Depreciation (CCA)</t>
        </is>
      </c>
      <c r="D13" s="5" t="n">
        <v>3560.28</v>
      </c>
      <c r="F13" t="inlineStr">
        <is>
          <t>Expense</t>
        </is>
      </c>
      <c r="G13" t="inlineStr">
        <is>
          <t>Receipts</t>
        </is>
      </c>
    </row>
    <row r="14">
      <c r="A14" t="n">
        <v>4</v>
      </c>
      <c r="B14" s="2" t="n">
        <v>46022</v>
      </c>
      <c r="C14" t="inlineStr">
        <is>
          <t>Accumulated Depreciation (1742)</t>
        </is>
      </c>
      <c r="E14" s="5" t="n">
        <v>3560.28</v>
      </c>
      <c r="F14" t="inlineStr">
        <is>
          <t>CCA</t>
        </is>
      </c>
      <c r="G14" t="inlineStr">
        <is>
          <t>CCA</t>
        </is>
      </c>
    </row>
    <row r="15">
      <c r="A15" t="n">
        <v>5</v>
      </c>
      <c r="B15" s="2" t="n">
        <v>46022</v>
      </c>
      <c r="C15" t="inlineStr">
        <is>
          <t>Repairs and Maintenance</t>
        </is>
      </c>
      <c r="D15" s="5" t="n">
        <v>3373.18</v>
      </c>
      <c r="F15" t="inlineStr">
        <is>
          <t>Expense</t>
        </is>
      </c>
      <c r="G15" t="inlineStr">
        <is>
          <t>Receipts</t>
        </is>
      </c>
    </row>
    <row r="16">
      <c r="A16" t="n">
        <v>6</v>
      </c>
      <c r="B16" s="2" t="n">
        <v>46022</v>
      </c>
      <c r="C16" t="inlineStr">
        <is>
          <t>Subcontractor Expense</t>
        </is>
      </c>
      <c r="D16" s="5" t="n">
        <v>2680.01</v>
      </c>
      <c r="F16" t="inlineStr">
        <is>
          <t>Expense</t>
        </is>
      </c>
      <c r="G16" t="inlineStr">
        <is>
          <t>Receipts</t>
        </is>
      </c>
    </row>
    <row r="17">
      <c r="A17" t="n">
        <v>7</v>
      </c>
      <c r="B17" s="2" t="n">
        <v>46022</v>
      </c>
      <c r="C17" t="inlineStr">
        <is>
          <t>Office Expenses</t>
        </is>
      </c>
      <c r="D17" s="5" t="n">
        <v>2247.63</v>
      </c>
      <c r="F17" t="inlineStr">
        <is>
          <t>Expense</t>
        </is>
      </c>
      <c r="G17" t="inlineStr">
        <is>
          <t>Receipts</t>
        </is>
      </c>
    </row>
    <row r="18">
      <c r="A18" t="n">
        <v>8</v>
      </c>
      <c r="B18" s="2" t="n">
        <v>46022</v>
      </c>
      <c r="C18" t="inlineStr">
        <is>
          <t>Advertising and Promotion</t>
        </is>
      </c>
      <c r="D18" s="5" t="n">
        <v>2156.43</v>
      </c>
      <c r="F18" t="inlineStr">
        <is>
          <t>Expense</t>
        </is>
      </c>
      <c r="G18" t="inlineStr">
        <is>
          <t>Receipts</t>
        </is>
      </c>
    </row>
    <row r="19">
      <c r="A19" t="n">
        <v>9</v>
      </c>
      <c r="B19" s="2" t="n">
        <v>46022</v>
      </c>
      <c r="C19" t="inlineStr">
        <is>
          <t>Meals and Entertainment (50%)</t>
        </is>
      </c>
      <c r="D19" s="5" t="n">
        <v>1789.45</v>
      </c>
      <c r="F19" t="inlineStr">
        <is>
          <t>Expense</t>
        </is>
      </c>
      <c r="G19" t="inlineStr">
        <is>
          <t>Receipts</t>
        </is>
      </c>
    </row>
    <row r="20">
      <c r="A20" t="n">
        <v>10</v>
      </c>
      <c r="B20" s="2" t="n">
        <v>46022</v>
      </c>
      <c r="C20" t="inlineStr">
        <is>
          <t>Professional Fees</t>
        </is>
      </c>
      <c r="D20" s="5" t="n">
        <v>1306.15</v>
      </c>
      <c r="F20" t="inlineStr">
        <is>
          <t>Expense</t>
        </is>
      </c>
      <c r="G20" t="inlineStr">
        <is>
          <t>Receipts</t>
        </is>
      </c>
    </row>
    <row r="21">
      <c r="A21" t="n">
        <v>11</v>
      </c>
      <c r="B21" s="2" t="n">
        <v>46022</v>
      </c>
      <c r="C21" t="inlineStr">
        <is>
          <t>Insurance</t>
        </is>
      </c>
      <c r="D21" s="5" t="n">
        <v>1156.78</v>
      </c>
      <c r="F21" t="inlineStr">
        <is>
          <t>Expense</t>
        </is>
      </c>
      <c r="G21" t="inlineStr">
        <is>
          <t>Receipts</t>
        </is>
      </c>
    </row>
    <row r="22">
      <c r="A22" t="n">
        <v>12</v>
      </c>
      <c r="B22" s="2" t="n">
        <v>46022</v>
      </c>
      <c r="C22" t="inlineStr">
        <is>
          <t>Property Taxes</t>
        </is>
      </c>
      <c r="D22" s="5" t="n">
        <v>1089.23</v>
      </c>
      <c r="F22" t="inlineStr">
        <is>
          <t>Expense</t>
        </is>
      </c>
      <c r="G22" t="inlineStr">
        <is>
          <t>Receipts</t>
        </is>
      </c>
    </row>
    <row r="23">
      <c r="A23" t="n">
        <v>13</v>
      </c>
      <c r="B23" s="2" t="n">
        <v>46022</v>
      </c>
      <c r="C23" t="inlineStr">
        <is>
          <t>Utilities - Gas</t>
        </is>
      </c>
      <c r="D23" s="5" t="n">
        <v>696.17</v>
      </c>
      <c r="F23" t="inlineStr">
        <is>
          <t>Expense</t>
        </is>
      </c>
      <c r="G23" t="inlineStr">
        <is>
          <t>Receipts</t>
        </is>
      </c>
    </row>
    <row r="24">
      <c r="A24" t="n">
        <v>14</v>
      </c>
      <c r="B24" s="2" t="n">
        <v>46022</v>
      </c>
      <c r="C24" t="inlineStr">
        <is>
          <t>Training and Education</t>
        </is>
      </c>
      <c r="D24" s="5" t="n">
        <v>763.33</v>
      </c>
      <c r="F24" t="inlineStr">
        <is>
          <t>Expense</t>
        </is>
      </c>
      <c r="G24" t="inlineStr">
        <is>
          <t>Receipts</t>
        </is>
      </c>
    </row>
    <row r="25">
      <c r="A25" t="n">
        <v>15</v>
      </c>
      <c r="B25" s="2" t="n">
        <v>46022</v>
      </c>
      <c r="C25" t="inlineStr">
        <is>
          <t>Utilities - Electricity</t>
        </is>
      </c>
      <c r="D25" s="5" t="n">
        <v>750.4100000000001</v>
      </c>
      <c r="F25" t="inlineStr">
        <is>
          <t>Expense</t>
        </is>
      </c>
      <c r="G25" t="inlineStr">
        <is>
          <t>Receipts</t>
        </is>
      </c>
    </row>
    <row r="26">
      <c r="A26" t="n">
        <v>16</v>
      </c>
      <c r="B26" s="2" t="n">
        <v>46022</v>
      </c>
      <c r="C26" t="inlineStr">
        <is>
          <t>Legal Fees</t>
        </is>
      </c>
      <c r="D26" s="5" t="n">
        <v>472.66</v>
      </c>
      <c r="F26" t="inlineStr">
        <is>
          <t>Expense</t>
        </is>
      </c>
      <c r="G26" t="inlineStr">
        <is>
          <t>Receipts</t>
        </is>
      </c>
    </row>
    <row r="27">
      <c r="A27" t="n">
        <v>17</v>
      </c>
      <c r="B27" s="2" t="n">
        <v>46022</v>
      </c>
      <c r="C27" t="inlineStr">
        <is>
          <t>Utilities - Water</t>
        </is>
      </c>
      <c r="D27" s="5" t="n">
        <v>534.77</v>
      </c>
      <c r="F27" t="inlineStr">
        <is>
          <t>Expense</t>
        </is>
      </c>
      <c r="G27" t="inlineStr">
        <is>
          <t>Receipts</t>
        </is>
      </c>
    </row>
    <row r="28">
      <c r="A28" t="n">
        <v>18</v>
      </c>
      <c r="B28" s="2" t="n">
        <v>46022</v>
      </c>
      <c r="C28" t="inlineStr">
        <is>
          <t>Bank Charges</t>
        </is>
      </c>
      <c r="D28" s="5" t="n">
        <v>181.29</v>
      </c>
      <c r="F28" t="inlineStr">
        <is>
          <t>Expense</t>
        </is>
      </c>
      <c r="G28" t="inlineStr">
        <is>
          <t>Receipts</t>
        </is>
      </c>
    </row>
    <row r="29">
      <c r="A29" t="n">
        <v>19</v>
      </c>
      <c r="B29" s="2" t="n">
        <v>46022</v>
      </c>
      <c r="C29" t="inlineStr">
        <is>
          <t>Telephone and Internet</t>
        </is>
      </c>
      <c r="D29" s="5" t="n">
        <v>447.41</v>
      </c>
      <c r="F29" t="inlineStr">
        <is>
          <t>Expense</t>
        </is>
      </c>
      <c r="G29" t="inlineStr">
        <is>
          <t>Receipts</t>
        </is>
      </c>
    </row>
    <row r="30">
      <c r="A30" t="n">
        <v>20</v>
      </c>
      <c r="B30" s="2" t="n">
        <v>46022</v>
      </c>
      <c r="C30" t="inlineStr">
        <is>
          <t>Business Travel</t>
        </is>
      </c>
      <c r="D30" s="5" t="n">
        <v>2967.65</v>
      </c>
      <c r="F30" t="inlineStr">
        <is>
          <t>Expense</t>
        </is>
      </c>
      <c r="G30" t="inlineStr">
        <is>
          <t>Receipts</t>
        </is>
      </c>
    </row>
    <row r="31">
      <c r="A31" t="n">
        <v>21</v>
      </c>
      <c r="B31" s="2" t="n">
        <v>46022</v>
      </c>
      <c r="C31" t="inlineStr">
        <is>
          <t>Shareholder Loan Payable (3640)</t>
        </is>
      </c>
      <c r="E31" s="5" t="n">
        <v>29540.96</v>
      </c>
      <c r="F31" t="inlineStr">
        <is>
          <t>Shareholder paid expenses</t>
        </is>
      </c>
      <c r="G31" t="inlineStr">
        <is>
          <t>Summary</t>
        </is>
      </c>
    </row>
    <row r="32">
      <c r="A32" t="n">
        <v>22</v>
      </c>
      <c r="B32" s="2" t="n">
        <v>46022</v>
      </c>
      <c r="C32" t="inlineStr">
        <is>
          <t>Shareholder Loan Payable (3640)</t>
        </is>
      </c>
      <c r="D32" s="5" t="n">
        <v>57740.97</v>
      </c>
      <c r="F32" t="inlineStr">
        <is>
          <t>Withdrawals from bank</t>
        </is>
      </c>
      <c r="G32" t="inlineStr">
        <is>
          <t>Bank</t>
        </is>
      </c>
    </row>
    <row r="33">
      <c r="A33" t="n">
        <v>22</v>
      </c>
      <c r="B33" s="2" t="n">
        <v>46022</v>
      </c>
      <c r="C33" t="inlineStr">
        <is>
          <t>BMO Business Chequing (1010)</t>
        </is>
      </c>
      <c r="E33" s="5" t="n">
        <v>57740.97</v>
      </c>
      <c r="F33" t="inlineStr">
        <is>
          <t>Cash out</t>
        </is>
      </c>
      <c r="G33" t="inlineStr">
        <is>
          <t>Bank</t>
        </is>
      </c>
    </row>
    <row r="34">
      <c r="A34" t="n">
        <v>23</v>
      </c>
      <c r="B34" s="2" t="n">
        <v>46022</v>
      </c>
      <c r="C34" t="inlineStr">
        <is>
          <t>Manulife Business Advantage (1020)</t>
        </is>
      </c>
      <c r="D34" s="5" t="n">
        <v>1.95</v>
      </c>
      <c r="F34" t="inlineStr">
        <is>
          <t>Manulife ending</t>
        </is>
      </c>
      <c r="G34" t="inlineStr">
        <is>
          <t>Bank</t>
        </is>
      </c>
    </row>
    <row r="35">
      <c r="A35" t="n">
        <v>23</v>
      </c>
      <c r="B35" s="2" t="n">
        <v>46022</v>
      </c>
      <c r="C35" t="inlineStr">
        <is>
          <t>BMO Business Chequing (1010)</t>
        </is>
      </c>
      <c r="E35" s="5" t="n">
        <v>1.95</v>
      </c>
      <c r="F35" t="inlineStr">
        <is>
          <t>Transfer to ML</t>
        </is>
      </c>
      <c r="G35" t="inlineStr">
        <is>
          <t>Bank</t>
        </is>
      </c>
    </row>
    <row r="36">
      <c r="C36" s="1" t="inlineStr">
        <is>
          <t>TOTAL:</t>
        </is>
      </c>
      <c r="D36" s="6">
        <f>SUM(D2:D35)</f>
        <v/>
      </c>
      <c r="E36" s="6">
        <f>SUM(E2:E35)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50" customWidth="1" min="6" max="6"/>
    <col width="8" customWidth="1" min="7" max="7"/>
  </cols>
  <sheetData>
    <row r="1">
      <c r="A1" s="7" t="inlineStr">
        <is>
          <t>Account</t>
        </is>
      </c>
      <c r="B1" s="7" t="inlineStr">
        <is>
          <t>Date</t>
        </is>
      </c>
      <c r="C1" s="7" t="inlineStr">
        <is>
          <t>Debit</t>
        </is>
      </c>
      <c r="D1" s="7" t="inlineStr">
        <is>
          <t>Credit</t>
        </is>
      </c>
      <c r="E1" s="7" t="inlineStr">
        <is>
          <t>Balance</t>
        </is>
      </c>
      <c r="F1" s="7" t="inlineStr">
        <is>
          <t>Memo</t>
        </is>
      </c>
      <c r="G1" s="7" t="inlineStr">
        <is>
          <t>JE #</t>
        </is>
      </c>
    </row>
    <row r="2">
      <c r="A2" t="inlineStr">
        <is>
          <t>Accumulated Depreciation (1742)</t>
        </is>
      </c>
      <c r="B2">
        <f>'Journal Entries'!B5</f>
        <v/>
      </c>
      <c r="D2" s="5">
        <f>'Journal Entries'!E5</f>
        <v/>
      </c>
      <c r="E2" s="5" t="n">
        <v>-2420</v>
      </c>
      <c r="F2">
        <f>'Journal Entries'!F5</f>
        <v/>
      </c>
      <c r="G2">
        <f>'Journal Entries'!A5</f>
        <v/>
      </c>
    </row>
    <row r="3">
      <c r="A3" t="inlineStr">
        <is>
          <t>Accumulated Depreciation (1742)</t>
        </is>
      </c>
      <c r="B3">
        <f>'Journal Entries'!B14</f>
        <v/>
      </c>
      <c r="D3" s="5">
        <f>'Journal Entries'!E14</f>
        <v/>
      </c>
      <c r="E3" s="5" t="n">
        <v>-5980.280000000001</v>
      </c>
      <c r="F3">
        <f>'Journal Entries'!F14</f>
        <v/>
      </c>
      <c r="G3">
        <f>'Journal Entries'!A14</f>
        <v/>
      </c>
    </row>
    <row r="5">
      <c r="A5" t="inlineStr">
        <is>
          <t>Advertising and Promotion</t>
        </is>
      </c>
      <c r="B5">
        <f>'Journal Entries'!B18</f>
        <v/>
      </c>
      <c r="C5" s="5">
        <f>'Journal Entries'!D18</f>
        <v/>
      </c>
      <c r="E5" s="5" t="n">
        <v>2156.43</v>
      </c>
      <c r="F5">
        <f>'Journal Entries'!F18</f>
        <v/>
      </c>
      <c r="G5">
        <f>'Journal Entries'!A18</f>
        <v/>
      </c>
    </row>
    <row r="7">
      <c r="A7" t="inlineStr">
        <is>
          <t>BMO Business Chequing (1010)</t>
        </is>
      </c>
      <c r="B7">
        <f>'Journal Entries'!B9</f>
        <v/>
      </c>
      <c r="C7" s="5">
        <f>'Journal Entries'!D9</f>
        <v/>
      </c>
      <c r="E7" s="5" t="n">
        <v>61675.6</v>
      </c>
      <c r="F7">
        <f>'Journal Entries'!F9</f>
        <v/>
      </c>
      <c r="G7">
        <f>'Journal Entries'!A9</f>
        <v/>
      </c>
    </row>
    <row r="8">
      <c r="A8" t="inlineStr">
        <is>
          <t>BMO Business Chequing (1010)</t>
        </is>
      </c>
      <c r="B8">
        <f>'Journal Entries'!B33</f>
        <v/>
      </c>
      <c r="D8" s="5">
        <f>'Journal Entries'!E33</f>
        <v/>
      </c>
      <c r="E8" s="5" t="n">
        <v>3934.629999999997</v>
      </c>
      <c r="F8">
        <f>'Journal Entries'!F33</f>
        <v/>
      </c>
      <c r="G8">
        <f>'Journal Entries'!A33</f>
        <v/>
      </c>
    </row>
    <row r="9">
      <c r="A9" t="inlineStr">
        <is>
          <t>BMO Business Chequing (1010)</t>
        </is>
      </c>
      <c r="B9">
        <f>'Journal Entries'!B35</f>
        <v/>
      </c>
      <c r="D9" s="5">
        <f>'Journal Entries'!E35</f>
        <v/>
      </c>
      <c r="E9" s="5" t="n">
        <v>3932.679999999998</v>
      </c>
      <c r="F9">
        <f>'Journal Entries'!F35</f>
        <v/>
      </c>
      <c r="G9">
        <f>'Journal Entries'!A35</f>
        <v/>
      </c>
    </row>
    <row r="11">
      <c r="A11" t="inlineStr">
        <is>
          <t>Bank Charges</t>
        </is>
      </c>
      <c r="B11">
        <f>'Journal Entries'!B28</f>
        <v/>
      </c>
      <c r="C11" s="5">
        <f>'Journal Entries'!D28</f>
        <v/>
      </c>
      <c r="E11" s="5" t="n">
        <v>181.29</v>
      </c>
      <c r="F11">
        <f>'Journal Entries'!F28</f>
        <v/>
      </c>
      <c r="G11">
        <f>'Journal Entries'!A28</f>
        <v/>
      </c>
    </row>
    <row r="13">
      <c r="A13" t="inlineStr">
        <is>
          <t>Business Travel</t>
        </is>
      </c>
      <c r="B13">
        <f>'Journal Entries'!B30</f>
        <v/>
      </c>
      <c r="C13" s="5">
        <f>'Journal Entries'!D30</f>
        <v/>
      </c>
      <c r="E13" s="5" t="n">
        <v>2967.65</v>
      </c>
      <c r="F13">
        <f>'Journal Entries'!F30</f>
        <v/>
      </c>
      <c r="G13">
        <f>'Journal Entries'!A30</f>
        <v/>
      </c>
    </row>
    <row r="15">
      <c r="A15" t="inlineStr">
        <is>
          <t>Computer Hardware (1741)</t>
        </is>
      </c>
      <c r="B15">
        <f>'Journal Entries'!B4</f>
        <v/>
      </c>
      <c r="C15" s="5">
        <f>'Journal Entries'!D4</f>
        <v/>
      </c>
      <c r="E15" s="5" t="n">
        <v>6380</v>
      </c>
      <c r="F15">
        <f>'Journal Entries'!F4</f>
        <v/>
      </c>
      <c r="G15">
        <f>'Journal Entries'!A4</f>
        <v/>
      </c>
    </row>
    <row r="17">
      <c r="A17" t="inlineStr">
        <is>
          <t>Corporate Income - Software Engineering (4300)</t>
        </is>
      </c>
      <c r="B17">
        <f>'Journal Entries'!B10</f>
        <v/>
      </c>
      <c r="D17" s="5">
        <f>'Journal Entries'!E10</f>
        <v/>
      </c>
      <c r="E17" s="5" t="n">
        <v>-54580.17699115045</v>
      </c>
      <c r="F17">
        <f>'Journal Entries'!F10</f>
        <v/>
      </c>
      <c r="G17">
        <f>'Journal Entries'!A10</f>
        <v/>
      </c>
    </row>
    <row r="19">
      <c r="A19" t="inlineStr">
        <is>
          <t>Depreciation (CCA)</t>
        </is>
      </c>
      <c r="B19">
        <f>'Journal Entries'!B13</f>
        <v/>
      </c>
      <c r="C19" s="5">
        <f>'Journal Entries'!D13</f>
        <v/>
      </c>
      <c r="E19" s="5" t="n">
        <v>3560.28</v>
      </c>
      <c r="F19">
        <f>'Journal Entries'!F13</f>
        <v/>
      </c>
      <c r="G19">
        <f>'Journal Entries'!A13</f>
        <v/>
      </c>
    </row>
    <row r="21">
      <c r="A21" t="inlineStr">
        <is>
          <t>HST Payable (2100)</t>
        </is>
      </c>
      <c r="B21">
        <f>'Journal Entries'!B6</f>
        <v/>
      </c>
      <c r="D21" s="5">
        <f>'Journal Entries'!E6</f>
        <v/>
      </c>
      <c r="E21" s="5" t="n">
        <v>-2945.09</v>
      </c>
      <c r="F21">
        <f>'Journal Entries'!F6</f>
        <v/>
      </c>
      <c r="G21">
        <f>'Journal Entries'!A6</f>
        <v/>
      </c>
    </row>
    <row r="22">
      <c r="A22" t="inlineStr">
        <is>
          <t>HST Payable (2100)</t>
        </is>
      </c>
      <c r="B22">
        <f>'Journal Entries'!B11</f>
        <v/>
      </c>
      <c r="D22" s="5">
        <f>'Journal Entries'!E11</f>
        <v/>
      </c>
      <c r="E22" s="5" t="n">
        <v>-10040.51300884955</v>
      </c>
      <c r="F22">
        <f>'Journal Entries'!F11</f>
        <v/>
      </c>
      <c r="G22">
        <f>'Journal Entries'!A11</f>
        <v/>
      </c>
    </row>
    <row r="24">
      <c r="A24" t="inlineStr">
        <is>
          <t>HST Recoverable (1200)</t>
        </is>
      </c>
      <c r="B24">
        <f>'Journal Entries'!B3</f>
        <v/>
      </c>
      <c r="C24" s="5">
        <f>'Journal Entries'!D3</f>
        <v/>
      </c>
      <c r="E24" s="5" t="n">
        <v>71.14</v>
      </c>
      <c r="F24">
        <f>'Journal Entries'!F3</f>
        <v/>
      </c>
      <c r="G24">
        <f>'Journal Entries'!A3</f>
        <v/>
      </c>
    </row>
    <row r="26">
      <c r="A26" t="inlineStr">
        <is>
          <t>Insurance</t>
        </is>
      </c>
      <c r="B26">
        <f>'Journal Entries'!B21</f>
        <v/>
      </c>
      <c r="C26" s="5">
        <f>'Journal Entries'!D21</f>
        <v/>
      </c>
      <c r="E26" s="5" t="n">
        <v>1156.78</v>
      </c>
      <c r="F26">
        <f>'Journal Entries'!F21</f>
        <v/>
      </c>
      <c r="G26">
        <f>'Journal Entries'!A21</f>
        <v/>
      </c>
    </row>
    <row r="28">
      <c r="A28" t="inlineStr">
        <is>
          <t>Legal Fees</t>
        </is>
      </c>
      <c r="B28">
        <f>'Journal Entries'!B26</f>
        <v/>
      </c>
      <c r="C28" s="5">
        <f>'Journal Entries'!D26</f>
        <v/>
      </c>
      <c r="E28" s="5" t="n">
        <v>472.66</v>
      </c>
      <c r="F28">
        <f>'Journal Entries'!F26</f>
        <v/>
      </c>
      <c r="G28">
        <f>'Journal Entries'!A26</f>
        <v/>
      </c>
    </row>
    <row r="30">
      <c r="A30" t="inlineStr">
        <is>
          <t>Manulife Business Advantage (1020)</t>
        </is>
      </c>
      <c r="B30">
        <f>'Journal Entries'!B34</f>
        <v/>
      </c>
      <c r="C30" s="5">
        <f>'Journal Entries'!D34</f>
        <v/>
      </c>
      <c r="E30" s="5" t="n">
        <v>1.95</v>
      </c>
      <c r="F30">
        <f>'Journal Entries'!F34</f>
        <v/>
      </c>
      <c r="G30">
        <f>'Journal Entries'!A34</f>
        <v/>
      </c>
    </row>
    <row r="32">
      <c r="A32" t="inlineStr">
        <is>
          <t>Meals and Entertainment (50%)</t>
        </is>
      </c>
      <c r="B32">
        <f>'Journal Entries'!B19</f>
        <v/>
      </c>
      <c r="C32" s="5">
        <f>'Journal Entries'!D19</f>
        <v/>
      </c>
      <c r="E32" s="5" t="n">
        <v>1789.45</v>
      </c>
      <c r="F32">
        <f>'Journal Entries'!F19</f>
        <v/>
      </c>
      <c r="G32">
        <f>'Journal Entries'!A19</f>
        <v/>
      </c>
    </row>
    <row r="34">
      <c r="A34" t="inlineStr">
        <is>
          <t>Office Expenses</t>
        </is>
      </c>
      <c r="B34">
        <f>'Journal Entries'!B17</f>
        <v/>
      </c>
      <c r="C34" s="5">
        <f>'Journal Entries'!D17</f>
        <v/>
      </c>
      <c r="E34" s="5" t="n">
        <v>2247.63</v>
      </c>
      <c r="F34">
        <f>'Journal Entries'!F17</f>
        <v/>
      </c>
      <c r="G34">
        <f>'Journal Entries'!A17</f>
        <v/>
      </c>
    </row>
    <row r="36">
      <c r="A36" t="inlineStr">
        <is>
          <t>Professional Fees</t>
        </is>
      </c>
      <c r="B36">
        <f>'Journal Entries'!B20</f>
        <v/>
      </c>
      <c r="C36" s="5">
        <f>'Journal Entries'!D20</f>
        <v/>
      </c>
      <c r="E36" s="5" t="n">
        <v>1306.15</v>
      </c>
      <c r="F36">
        <f>'Journal Entries'!F20</f>
        <v/>
      </c>
      <c r="G36">
        <f>'Journal Entries'!A20</f>
        <v/>
      </c>
    </row>
    <row r="38">
      <c r="A38" t="inlineStr">
        <is>
          <t>Property Taxes</t>
        </is>
      </c>
      <c r="B38">
        <f>'Journal Entries'!B22</f>
        <v/>
      </c>
      <c r="C38" s="5">
        <f>'Journal Entries'!D22</f>
        <v/>
      </c>
      <c r="E38" s="5" t="n">
        <v>1089.23</v>
      </c>
      <c r="F38">
        <f>'Journal Entries'!F22</f>
        <v/>
      </c>
      <c r="G38">
        <f>'Journal Entries'!A22</f>
        <v/>
      </c>
    </row>
    <row r="40">
      <c r="A40" t="inlineStr">
        <is>
          <t>Repairs and Maintenance</t>
        </is>
      </c>
      <c r="B40">
        <f>'Journal Entries'!B15</f>
        <v/>
      </c>
      <c r="C40" s="5">
        <f>'Journal Entries'!D15</f>
        <v/>
      </c>
      <c r="E40" s="5" t="n">
        <v>3373.18</v>
      </c>
      <c r="F40">
        <f>'Journal Entries'!F15</f>
        <v/>
      </c>
      <c r="G40">
        <f>'Journal Entries'!A15</f>
        <v/>
      </c>
    </row>
    <row r="42">
      <c r="A42" t="inlineStr">
        <is>
          <t>Retained Earnings (3100)</t>
        </is>
      </c>
      <c r="B42">
        <f>'Journal Entries'!B8</f>
        <v/>
      </c>
      <c r="C42" s="5">
        <f>'Journal Entries'!D8</f>
        <v/>
      </c>
      <c r="E42" s="5" t="n">
        <v>4012.530000000001</v>
      </c>
      <c r="F42">
        <f>'Journal Entries'!F8</f>
        <v/>
      </c>
      <c r="G42">
        <f>'Journal Entries'!A8</f>
        <v/>
      </c>
    </row>
    <row r="44">
      <c r="A44" t="inlineStr">
        <is>
          <t>Shareholder Loan Payable (3640)</t>
        </is>
      </c>
      <c r="B44">
        <f>'Journal Entries'!B7</f>
        <v/>
      </c>
      <c r="D44" s="5">
        <f>'Journal Entries'!E7</f>
        <v/>
      </c>
      <c r="E44" s="5" t="n">
        <v>-5730</v>
      </c>
      <c r="F44">
        <f>'Journal Entries'!F7</f>
        <v/>
      </c>
      <c r="G44">
        <f>'Journal Entries'!A7</f>
        <v/>
      </c>
    </row>
    <row r="45">
      <c r="A45" t="inlineStr">
        <is>
          <t>Shareholder Loan Payable (3640)</t>
        </is>
      </c>
      <c r="B45">
        <f>'Journal Entries'!B31</f>
        <v/>
      </c>
      <c r="D45" s="5">
        <f>'Journal Entries'!E31</f>
        <v/>
      </c>
      <c r="E45" s="5" t="n">
        <v>-35270.96</v>
      </c>
      <c r="F45">
        <f>'Journal Entries'!F31</f>
        <v/>
      </c>
      <c r="G45">
        <f>'Journal Entries'!A31</f>
        <v/>
      </c>
    </row>
    <row r="46">
      <c r="A46" t="inlineStr">
        <is>
          <t>Shareholder Loan Payable (3640)</t>
        </is>
      </c>
      <c r="B46">
        <f>'Journal Entries'!B32</f>
        <v/>
      </c>
      <c r="C46" s="5">
        <f>'Journal Entries'!D32</f>
        <v/>
      </c>
      <c r="E46" s="5" t="n">
        <v>22470.01</v>
      </c>
      <c r="F46">
        <f>'Journal Entries'!F32</f>
        <v/>
      </c>
      <c r="G46">
        <f>'Journal Entries'!A32</f>
        <v/>
      </c>
    </row>
    <row r="48">
      <c r="A48" t="inlineStr">
        <is>
          <t>Subcontractor Expense</t>
        </is>
      </c>
      <c r="B48">
        <f>'Journal Entries'!B16</f>
        <v/>
      </c>
      <c r="C48" s="5">
        <f>'Journal Entries'!D16</f>
        <v/>
      </c>
      <c r="E48" s="5" t="n">
        <v>2680.01</v>
      </c>
      <c r="F48">
        <f>'Journal Entries'!F16</f>
        <v/>
      </c>
      <c r="G48">
        <f>'Journal Entries'!A16</f>
        <v/>
      </c>
    </row>
    <row r="50">
      <c r="A50" t="inlineStr">
        <is>
          <t>TD Business Chequing (1000)</t>
        </is>
      </c>
      <c r="B50">
        <f>'Journal Entries'!B2</f>
        <v/>
      </c>
      <c r="C50" s="5">
        <f>'Journal Entries'!D2</f>
        <v/>
      </c>
      <c r="E50" s="5" t="n">
        <v>631.42</v>
      </c>
      <c r="F50">
        <f>'Journal Entries'!F2</f>
        <v/>
      </c>
      <c r="G50">
        <f>'Journal Entries'!A2</f>
        <v/>
      </c>
    </row>
    <row r="52">
      <c r="A52" t="inlineStr">
        <is>
          <t>Telephone and Internet</t>
        </is>
      </c>
      <c r="B52">
        <f>'Journal Entries'!B29</f>
        <v/>
      </c>
      <c r="C52" s="5">
        <f>'Journal Entries'!D29</f>
        <v/>
      </c>
      <c r="E52" s="5" t="n">
        <v>447.41</v>
      </c>
      <c r="F52">
        <f>'Journal Entries'!F29</f>
        <v/>
      </c>
      <c r="G52">
        <f>'Journal Entries'!A29</f>
        <v/>
      </c>
    </row>
    <row r="54">
      <c r="A54" t="inlineStr">
        <is>
          <t>Training and Education</t>
        </is>
      </c>
      <c r="B54">
        <f>'Journal Entries'!B24</f>
        <v/>
      </c>
      <c r="C54" s="5">
        <f>'Journal Entries'!D24</f>
        <v/>
      </c>
      <c r="E54" s="5" t="n">
        <v>763.33</v>
      </c>
      <c r="F54">
        <f>'Journal Entries'!F24</f>
        <v/>
      </c>
      <c r="G54">
        <f>'Journal Entries'!A24</f>
        <v/>
      </c>
    </row>
    <row r="56">
      <c r="A56" t="inlineStr">
        <is>
          <t>Utilities - Electricity</t>
        </is>
      </c>
      <c r="B56">
        <f>'Journal Entries'!B25</f>
        <v/>
      </c>
      <c r="C56" s="5">
        <f>'Journal Entries'!D25</f>
        <v/>
      </c>
      <c r="E56" s="5" t="n">
        <v>750.4100000000001</v>
      </c>
      <c r="F56">
        <f>'Journal Entries'!F25</f>
        <v/>
      </c>
      <c r="G56">
        <f>'Journal Entries'!A25</f>
        <v/>
      </c>
    </row>
    <row r="58">
      <c r="A58" t="inlineStr">
        <is>
          <t>Utilities - Gas</t>
        </is>
      </c>
      <c r="B58">
        <f>'Journal Entries'!B23</f>
        <v/>
      </c>
      <c r="C58" s="5">
        <f>'Journal Entries'!D23</f>
        <v/>
      </c>
      <c r="E58" s="5" t="n">
        <v>696.17</v>
      </c>
      <c r="F58">
        <f>'Journal Entries'!F23</f>
        <v/>
      </c>
      <c r="G58">
        <f>'Journal Entries'!A23</f>
        <v/>
      </c>
    </row>
    <row r="60">
      <c r="A60" t="inlineStr">
        <is>
          <t>Utilities - Water</t>
        </is>
      </c>
      <c r="B60">
        <f>'Journal Entries'!B27</f>
        <v/>
      </c>
      <c r="C60" s="5">
        <f>'Journal Entries'!D27</f>
        <v/>
      </c>
      <c r="E60" s="5" t="n">
        <v>534.77</v>
      </c>
      <c r="F60">
        <f>'Journal Entries'!F27</f>
        <v/>
      </c>
      <c r="G60">
        <f>'Journal Entries'!A27</f>
        <v/>
      </c>
    </row>
    <row r="62">
      <c r="A62" t="inlineStr">
        <is>
          <t>Vehicle Expense</t>
        </is>
      </c>
      <c r="B62">
        <f>'Journal Entries'!B12</f>
        <v/>
      </c>
      <c r="C62" s="5">
        <f>'Journal Entries'!D12</f>
        <v/>
      </c>
      <c r="E62" s="5" t="n">
        <v>6928.41</v>
      </c>
      <c r="F62">
        <f>'Journal Entries'!F12</f>
        <v/>
      </c>
      <c r="G62">
        <f>'Journal Entries'!A12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2026-06-29T20:52:42Z</dcterms:created>
  <dcterms:modified xsi:type="dcterms:W3CDTF">2026-06-29T20:56:22Z</dcterms:modified>
</cp:coreProperties>
</file>