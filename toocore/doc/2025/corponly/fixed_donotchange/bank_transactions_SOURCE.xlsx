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oocore\doc\2025\corponly\fixed_donotchange\"/>
    </mc:Choice>
  </mc:AlternateContent>
  <xr:revisionPtr revIDLastSave="0" documentId="13_ncr:1_{A3EEBFDE-6CAA-4D55-AE73-BC9DC5173ED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ll Transactions" sheetId="1" r:id="rId1"/>
    <sheet name="All(excluding ignore)" sheetId="4" r:id="rId2"/>
    <sheet name="Summary" sheetId="2" r:id="rId3"/>
    <sheet name="BankEndingBalance" sheetId="5" r:id="rId4"/>
    <sheet name="Key Totals" sheetId="3" r:id="rId5"/>
  </sheets>
  <definedNames>
    <definedName name="_xlnm._FilterDatabase" localSheetId="1" hidden="1">'All(excluding ignore)'!$A$1:$H$86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I3" i="2" s="1"/>
  <c r="H3" i="2"/>
  <c r="F3" i="2"/>
  <c r="B4" i="5"/>
  <c r="D8" i="2"/>
  <c r="D7" i="2"/>
  <c r="D5" i="2"/>
  <c r="D4" i="2"/>
  <c r="D2" i="2"/>
  <c r="D3" i="2"/>
</calcChain>
</file>

<file path=xl/sharedStrings.xml><?xml version="1.0" encoding="utf-8"?>
<sst xmlns="http://schemas.openxmlformats.org/spreadsheetml/2006/main" count="834" uniqueCount="84">
  <si>
    <t>Date</t>
  </si>
  <si>
    <t>Bank</t>
  </si>
  <si>
    <t>Description</t>
  </si>
  <si>
    <t>Debit</t>
  </si>
  <si>
    <t>Credit</t>
  </si>
  <si>
    <t>Amount</t>
  </si>
  <si>
    <t>Category</t>
  </si>
  <si>
    <t>Note</t>
  </si>
  <si>
    <t>TD</t>
  </si>
  <si>
    <t>RHill Water WBP</t>
  </si>
  <si>
    <t>EXPENSE</t>
  </si>
  <si>
    <t>Utilities</t>
  </si>
  <si>
    <t>BMO</t>
  </si>
  <si>
    <t xml:space="preserve">[CW]INTERAC ETRNSFR AD RECVD LEO RENY                                          </t>
  </si>
  <si>
    <t>IGNORE</t>
  </si>
  <si>
    <t>Small amount &lt; $5</t>
  </si>
  <si>
    <t>Uber Holdings C MSP</t>
  </si>
  <si>
    <t>INCOME</t>
  </si>
  <si>
    <t>UBER driving revenue</t>
  </si>
  <si>
    <t>WQ360 TFR-FR 6210446</t>
  </si>
  <si>
    <t>Client software revenue</t>
  </si>
  <si>
    <t>SEND E-TFR ***6yu</t>
  </si>
  <si>
    <t>WITHDRAWAL</t>
  </si>
  <si>
    <t>Shareholder withdrawal (reduces loan)</t>
  </si>
  <si>
    <t>Enbridge Gas BPY</t>
  </si>
  <si>
    <t xml:space="preserve">[DS]UBER HOLDINGS C MSP/DIV                                                    </t>
  </si>
  <si>
    <t xml:space="preserve">[CW]INTERAC ETRNSFR SENT     LEO TANGERINE            20250241033B2USZV        </t>
  </si>
  <si>
    <t xml:space="preserve">[CW]INTERAC ETRNSFR SENT     LEO TANGERINE            20250241147KQEVTF        </t>
  </si>
  <si>
    <t xml:space="preserve">[CW]INTERAC ETRNSFR AD RECVD DATAMOND SYSTEM INC.                              </t>
  </si>
  <si>
    <t>DATAMOND software revenue</t>
  </si>
  <si>
    <t xml:space="preserve">[CW]INTERAC ETRNSFR SENT     LEOBMOSAVING             20250291524AD5BDP        </t>
  </si>
  <si>
    <t>MONTHLY PLAN FEE</t>
  </si>
  <si>
    <t>Bank charges</t>
  </si>
  <si>
    <t xml:space="preserve">[SC]INTERAC E-TRANSFER                                                         </t>
  </si>
  <si>
    <t xml:space="preserve">[SC]BR.3848                  SC REVERSAL  E TRANSFER  10FEB2025                </t>
  </si>
  <si>
    <t xml:space="preserve">[CW]INTERAC ETRNSFR SENT     LEOBMOSAVING             20250421410CJVP5B        </t>
  </si>
  <si>
    <t xml:space="preserve">[CW]INTERAC ETRNSFR SENT     LEOBMOSAVING             20250521817DAJ45A        </t>
  </si>
  <si>
    <t>RL454 TFR-FR 6210446</t>
  </si>
  <si>
    <t>CONTRIBUTION</t>
  </si>
  <si>
    <t>Shareholder contribution (increases loan)</t>
  </si>
  <si>
    <t xml:space="preserve">[CW] TF 0303#3933-249                                                          </t>
  </si>
  <si>
    <t>Pass-through (same day personal)</t>
  </si>
  <si>
    <t xml:space="preserve">[CW]INTERAC ETRNSFR SENT     LEONATIONAL              20250902009SS3XXF        </t>
  </si>
  <si>
    <t xml:space="preserve">[CW]INTERAC ETRNSFR SENT     LEONATIONAL              20251181912H4BB26        </t>
  </si>
  <si>
    <t xml:space="preserve">[CW]INTERAC ETRNSFR SENT     LEONATIONAL              20251192028QZG9YG        </t>
  </si>
  <si>
    <t xml:space="preserve">[CW]INTERAC ETRNSFR SENT     LEO TANGERINE            20251431458RNUJJ6        </t>
  </si>
  <si>
    <t xml:space="preserve">[CW]INTERAC ETRNSFR SENT     LEO TANGERINE            20251491438HZ3FFF        </t>
  </si>
  <si>
    <t xml:space="preserve">[CW]INTERAC ETRNSFR SENT     LEO TANGERINE            20251991752MRNMJJ        </t>
  </si>
  <si>
    <t xml:space="preserve">[CW]MOBILE CHEQUE DEPOSIT                                                      </t>
  </si>
  <si>
    <t>DATAMOND check deposit</t>
  </si>
  <si>
    <t xml:space="preserve">[SC]CHQ           1 @  $0.20                                                   </t>
  </si>
  <si>
    <t xml:space="preserve">[CW]INTERAC ETRNSFR SENT     MERIDIAN                 20252761643HW9ZDG        </t>
  </si>
  <si>
    <t>MANULIFE</t>
  </si>
  <si>
    <t>Interest Deposit</t>
  </si>
  <si>
    <t>Interac e-Transfer Receive</t>
  </si>
  <si>
    <t xml:space="preserve">[DS]MANULIFE BANK O MSP/DIV                                                    </t>
  </si>
  <si>
    <t>Inter-account transfer (recorded from ML side)</t>
  </si>
  <si>
    <t>External Transfer 1987163</t>
  </si>
  <si>
    <t>TRANSFER</t>
  </si>
  <si>
    <t>Transfer from Manulife to BMO</t>
  </si>
  <si>
    <t xml:space="preserve">[CW]INTERAC ETRNSFR RECVD    RAKUTEN CANADA           20253181848117873        </t>
  </si>
  <si>
    <t>Personal transaction</t>
  </si>
  <si>
    <t xml:space="preserve">[CW]INTERAC ETRNSFR RECVD    RAKUTEN CANADA           20253181856118841        </t>
  </si>
  <si>
    <t>Uber or small payment</t>
  </si>
  <si>
    <t>Mobile Deposit</t>
  </si>
  <si>
    <t>Count</t>
  </si>
  <si>
    <t>Total Amount</t>
  </si>
  <si>
    <t>INCOME (from bank statements)</t>
  </si>
  <si>
    <t>Total INCOME (with HST):</t>
  </si>
  <si>
    <t>SHAREHOLDER LOAN (from bank)</t>
  </si>
  <si>
    <t>Opening: Business owes shareholder</t>
  </si>
  <si>
    <t>Contributions from bank:</t>
  </si>
  <si>
    <t>Withdrawals from bank:</t>
  </si>
  <si>
    <t>Net from bank activity:</t>
  </si>
  <si>
    <t>Note: Expenses paid by shareholder via credit card</t>
  </si>
  <si>
    <t xml:space="preserve">      (not in bank) need to be added separately</t>
  </si>
  <si>
    <t>Datamond</t>
  </si>
  <si>
    <t xml:space="preserve">Manulife </t>
  </si>
  <si>
    <t>BankEnding</t>
  </si>
  <si>
    <t>total out</t>
  </si>
  <si>
    <t xml:space="preserve">  Opening (Jan 1): Business owes shareholder    $  5,730.00</t>
  </si>
  <si>
    <t xml:space="preserve">  Contributions:                               +$    936.05</t>
  </si>
  <si>
    <t>credit</t>
  </si>
  <si>
    <t>BankOpening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</si>
</sst>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99999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F1115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" fontId="0" fillId="0" borderId="0" xfId="0" applyNumberFormat="1"/>
    <xf numFmtId="4" fontId="2" fillId="0" borderId="0" xfId="0" applyNumberFormat="1" applyFont="1"/>
    <xf numFmtId="4" fontId="0" fillId="3" borderId="0" xfId="0" applyNumberFormat="1" applyFill="1"/>
    <xf numFmtId="4" fontId="0" fillId="4" borderId="0" xfId="0" applyNumberFormat="1" applyFill="1"/>
    <xf numFmtId="43" fontId="0" fillId="0" borderId="0" xfId="1" applyFont="1"/>
    <xf numFmtId="43" fontId="4" fillId="0" borderId="0" xfId="1" applyFont="1" applyAlignment="1">
      <alignment horizontal="left" vertical="center" indent="1"/>
    </xf>
    <xf numFmtId="43" fontId="4" fillId="5" borderId="0" xfId="1" applyFont="1" applyFill="1" applyAlignment="1">
      <alignment horizontal="left" vertical="center" indent="1"/>
    </xf>
    <xf numFmtId="14" fontId="0" fillId="0" borderId="0" xfId="0" applyNumberFormat="1"/>
    <xf numFmtId="0" fontId="1" fillId="2" borderId="0" xfId="0" applyFont="1" applyFill="1" applyBorder="1"/>
    <xf numFmtId="43" fontId="0" fillId="0" borderId="0" xfId="0" applyNumberFormat="1"/>
    <xf numFmtId="0" fontId="1" fillId="2" borderId="2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workbookViewId="0">
      <selection activeCell="J2" sqref="J2"/>
    </sheetView>
  </sheetViews>
  <sheetFormatPr defaultRowHeight="15" x14ac:dyDescent="0.25"/>
  <cols>
    <col min="1" max="1" width="12.7109375" customWidth="1"/>
    <col min="2" max="2" width="10.7109375" customWidth="1"/>
    <col min="3" max="3" width="60.7109375" customWidth="1"/>
    <col min="4" max="6" width="12.7109375" customWidth="1"/>
    <col min="7" max="7" width="15.7109375" customWidth="1"/>
    <col min="8" max="8" width="4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45659</v>
      </c>
      <c r="B2" t="s">
        <v>8</v>
      </c>
      <c r="C2" t="s">
        <v>9</v>
      </c>
      <c r="D2" s="3">
        <v>47</v>
      </c>
      <c r="F2" s="3">
        <v>-47</v>
      </c>
      <c r="G2" t="s">
        <v>10</v>
      </c>
      <c r="H2" t="s">
        <v>11</v>
      </c>
    </row>
    <row r="3" spans="1:8" x14ac:dyDescent="0.25">
      <c r="A3" s="2">
        <v>45663</v>
      </c>
      <c r="B3" t="s">
        <v>12</v>
      </c>
      <c r="C3" t="s">
        <v>13</v>
      </c>
      <c r="E3" s="3">
        <v>1</v>
      </c>
      <c r="F3" s="4">
        <v>1</v>
      </c>
      <c r="G3" t="s">
        <v>14</v>
      </c>
      <c r="H3" t="s">
        <v>15</v>
      </c>
    </row>
    <row r="4" spans="1:8" x14ac:dyDescent="0.25">
      <c r="A4" s="2">
        <v>45664</v>
      </c>
      <c r="B4" t="s">
        <v>8</v>
      </c>
      <c r="C4" t="s">
        <v>16</v>
      </c>
      <c r="E4" s="3">
        <v>61.12</v>
      </c>
      <c r="F4" s="5">
        <v>61.12</v>
      </c>
      <c r="G4" t="s">
        <v>17</v>
      </c>
      <c r="H4" t="s">
        <v>18</v>
      </c>
    </row>
    <row r="5" spans="1:8" x14ac:dyDescent="0.25">
      <c r="A5" s="2">
        <v>45664</v>
      </c>
      <c r="B5" t="s">
        <v>8</v>
      </c>
      <c r="C5" t="s">
        <v>19</v>
      </c>
      <c r="E5" s="3">
        <v>3000</v>
      </c>
      <c r="F5" s="5">
        <v>3000</v>
      </c>
      <c r="G5" t="s">
        <v>17</v>
      </c>
      <c r="H5" t="s">
        <v>20</v>
      </c>
    </row>
    <row r="6" spans="1:8" x14ac:dyDescent="0.25">
      <c r="A6" s="2">
        <v>45664</v>
      </c>
      <c r="B6" t="s">
        <v>8</v>
      </c>
      <c r="C6" t="s">
        <v>21</v>
      </c>
      <c r="D6" s="3">
        <v>3000</v>
      </c>
      <c r="F6" s="6">
        <v>-3000</v>
      </c>
      <c r="G6" t="s">
        <v>22</v>
      </c>
      <c r="H6" t="s">
        <v>23</v>
      </c>
    </row>
    <row r="7" spans="1:8" x14ac:dyDescent="0.25">
      <c r="A7" s="2">
        <v>45666</v>
      </c>
      <c r="B7" t="s">
        <v>8</v>
      </c>
      <c r="C7" t="s">
        <v>24</v>
      </c>
      <c r="D7" s="3">
        <v>85</v>
      </c>
      <c r="F7" s="3">
        <v>-85</v>
      </c>
      <c r="G7" t="s">
        <v>10</v>
      </c>
      <c r="H7" t="s">
        <v>11</v>
      </c>
    </row>
    <row r="8" spans="1:8" x14ac:dyDescent="0.25">
      <c r="A8" s="2">
        <v>45671</v>
      </c>
      <c r="B8" t="s">
        <v>12</v>
      </c>
      <c r="C8" t="s">
        <v>25</v>
      </c>
      <c r="E8" s="3">
        <v>183.89</v>
      </c>
      <c r="F8" s="5">
        <v>183.89</v>
      </c>
      <c r="G8" t="s">
        <v>17</v>
      </c>
      <c r="H8" t="s">
        <v>18</v>
      </c>
    </row>
    <row r="9" spans="1:8" x14ac:dyDescent="0.25">
      <c r="A9" s="2">
        <v>45678</v>
      </c>
      <c r="B9" t="s">
        <v>12</v>
      </c>
      <c r="C9" t="s">
        <v>25</v>
      </c>
      <c r="E9" s="3">
        <v>151.26</v>
      </c>
      <c r="F9" s="5">
        <v>151.26</v>
      </c>
      <c r="G9" t="s">
        <v>17</v>
      </c>
      <c r="H9" t="s">
        <v>18</v>
      </c>
    </row>
    <row r="10" spans="1:8" x14ac:dyDescent="0.25">
      <c r="A10" s="2">
        <v>45681</v>
      </c>
      <c r="B10" t="s">
        <v>12</v>
      </c>
      <c r="C10" t="s">
        <v>26</v>
      </c>
      <c r="D10" s="3">
        <v>6</v>
      </c>
      <c r="F10" s="6">
        <v>-6</v>
      </c>
      <c r="G10" t="s">
        <v>22</v>
      </c>
      <c r="H10" t="s">
        <v>23</v>
      </c>
    </row>
    <row r="11" spans="1:8" x14ac:dyDescent="0.25">
      <c r="A11" s="2">
        <v>45681</v>
      </c>
      <c r="B11" t="s">
        <v>12</v>
      </c>
      <c r="C11" t="s">
        <v>27</v>
      </c>
      <c r="D11" s="3">
        <v>330</v>
      </c>
      <c r="F11" s="6">
        <v>-330</v>
      </c>
      <c r="G11" t="s">
        <v>22</v>
      </c>
      <c r="H11" t="s">
        <v>23</v>
      </c>
    </row>
    <row r="12" spans="1:8" x14ac:dyDescent="0.25">
      <c r="A12" s="2">
        <v>45685</v>
      </c>
      <c r="B12" t="s">
        <v>12</v>
      </c>
      <c r="C12" t="s">
        <v>25</v>
      </c>
      <c r="E12" s="3">
        <v>193.64</v>
      </c>
      <c r="F12" s="5">
        <v>193.64</v>
      </c>
      <c r="G12" t="s">
        <v>17</v>
      </c>
      <c r="H12" t="s">
        <v>18</v>
      </c>
    </row>
    <row r="13" spans="1:8" x14ac:dyDescent="0.25">
      <c r="A13" s="2">
        <v>45686</v>
      </c>
      <c r="B13" t="s">
        <v>12</v>
      </c>
      <c r="C13" t="s">
        <v>28</v>
      </c>
      <c r="E13" s="3">
        <v>2260</v>
      </c>
      <c r="F13" s="5">
        <v>2260</v>
      </c>
      <c r="G13" t="s">
        <v>17</v>
      </c>
      <c r="H13" t="s">
        <v>29</v>
      </c>
    </row>
    <row r="14" spans="1:8" x14ac:dyDescent="0.25">
      <c r="A14" s="2">
        <v>45686</v>
      </c>
      <c r="B14" t="s">
        <v>12</v>
      </c>
      <c r="C14" t="s">
        <v>30</v>
      </c>
      <c r="D14" s="3">
        <v>2353.79</v>
      </c>
      <c r="F14" s="6">
        <v>-2353.79</v>
      </c>
      <c r="G14" t="s">
        <v>22</v>
      </c>
      <c r="H14" t="s">
        <v>23</v>
      </c>
    </row>
    <row r="15" spans="1:8" x14ac:dyDescent="0.25">
      <c r="A15" s="2">
        <v>45688</v>
      </c>
      <c r="B15" t="s">
        <v>8</v>
      </c>
      <c r="C15" t="s">
        <v>31</v>
      </c>
      <c r="D15" s="3">
        <v>5</v>
      </c>
      <c r="F15" s="3">
        <v>-5</v>
      </c>
      <c r="G15" t="s">
        <v>10</v>
      </c>
      <c r="H15" t="s">
        <v>32</v>
      </c>
    </row>
    <row r="16" spans="1:8" x14ac:dyDescent="0.25">
      <c r="A16" s="2">
        <v>45688</v>
      </c>
      <c r="B16" t="s">
        <v>12</v>
      </c>
      <c r="C16" t="s">
        <v>33</v>
      </c>
      <c r="D16" s="3">
        <v>1.5</v>
      </c>
      <c r="F16" s="4">
        <v>-1.5</v>
      </c>
      <c r="G16" t="s">
        <v>14</v>
      </c>
      <c r="H16" t="s">
        <v>15</v>
      </c>
    </row>
    <row r="17" spans="1:8" x14ac:dyDescent="0.25">
      <c r="A17" s="2">
        <v>45692</v>
      </c>
      <c r="B17" t="s">
        <v>12</v>
      </c>
      <c r="C17" t="s">
        <v>25</v>
      </c>
      <c r="E17" s="3">
        <v>314.87</v>
      </c>
      <c r="F17" s="5">
        <v>314.87</v>
      </c>
      <c r="G17" t="s">
        <v>17</v>
      </c>
      <c r="H17" t="s">
        <v>18</v>
      </c>
    </row>
    <row r="18" spans="1:8" x14ac:dyDescent="0.25">
      <c r="A18" s="2">
        <v>45698</v>
      </c>
      <c r="B18" t="s">
        <v>12</v>
      </c>
      <c r="C18" t="s">
        <v>34</v>
      </c>
      <c r="E18" s="3">
        <v>1.5</v>
      </c>
      <c r="F18" s="4">
        <v>1.5</v>
      </c>
      <c r="G18" t="s">
        <v>14</v>
      </c>
      <c r="H18" t="s">
        <v>15</v>
      </c>
    </row>
    <row r="19" spans="1:8" x14ac:dyDescent="0.25">
      <c r="A19" s="2">
        <v>45699</v>
      </c>
      <c r="B19" t="s">
        <v>12</v>
      </c>
      <c r="C19" t="s">
        <v>25</v>
      </c>
      <c r="E19" s="3">
        <v>161.43</v>
      </c>
      <c r="F19" s="5">
        <v>161.43</v>
      </c>
      <c r="G19" t="s">
        <v>17</v>
      </c>
      <c r="H19" t="s">
        <v>18</v>
      </c>
    </row>
    <row r="20" spans="1:8" x14ac:dyDescent="0.25">
      <c r="A20" s="2">
        <v>45699</v>
      </c>
      <c r="B20" t="s">
        <v>12</v>
      </c>
      <c r="C20" t="s">
        <v>28</v>
      </c>
      <c r="E20" s="3">
        <v>2260</v>
      </c>
      <c r="F20" s="5">
        <v>2260</v>
      </c>
      <c r="G20" t="s">
        <v>17</v>
      </c>
      <c r="H20" t="s">
        <v>29</v>
      </c>
    </row>
    <row r="21" spans="1:8" x14ac:dyDescent="0.25">
      <c r="A21" s="2">
        <v>45699</v>
      </c>
      <c r="B21" t="s">
        <v>12</v>
      </c>
      <c r="C21" t="s">
        <v>35</v>
      </c>
      <c r="D21" s="3">
        <v>2816.3</v>
      </c>
      <c r="F21" s="6">
        <v>-2816.3</v>
      </c>
      <c r="G21" t="s">
        <v>22</v>
      </c>
      <c r="H21" t="s">
        <v>23</v>
      </c>
    </row>
    <row r="22" spans="1:8" x14ac:dyDescent="0.25">
      <c r="A22" s="2">
        <v>45706</v>
      </c>
      <c r="B22" t="s">
        <v>12</v>
      </c>
      <c r="C22" t="s">
        <v>25</v>
      </c>
      <c r="E22" s="3">
        <v>322.02</v>
      </c>
      <c r="F22" s="5">
        <v>322.02</v>
      </c>
      <c r="G22" t="s">
        <v>17</v>
      </c>
      <c r="H22" t="s">
        <v>18</v>
      </c>
    </row>
    <row r="23" spans="1:8" x14ac:dyDescent="0.25">
      <c r="A23" s="2">
        <v>45709</v>
      </c>
      <c r="B23" t="s">
        <v>12</v>
      </c>
      <c r="C23" t="s">
        <v>28</v>
      </c>
      <c r="E23" s="3">
        <v>2260</v>
      </c>
      <c r="F23" s="5">
        <v>2260</v>
      </c>
      <c r="G23" t="s">
        <v>17</v>
      </c>
      <c r="H23" t="s">
        <v>29</v>
      </c>
    </row>
    <row r="24" spans="1:8" x14ac:dyDescent="0.25">
      <c r="A24" s="2">
        <v>45709</v>
      </c>
      <c r="B24" t="s">
        <v>12</v>
      </c>
      <c r="C24" t="s">
        <v>36</v>
      </c>
      <c r="D24" s="3">
        <v>2600</v>
      </c>
      <c r="F24" s="6">
        <v>-2600</v>
      </c>
      <c r="G24" t="s">
        <v>22</v>
      </c>
      <c r="H24" t="s">
        <v>23</v>
      </c>
    </row>
    <row r="25" spans="1:8" x14ac:dyDescent="0.25">
      <c r="A25" s="2">
        <v>45712</v>
      </c>
      <c r="B25" t="s">
        <v>8</v>
      </c>
      <c r="C25" t="s">
        <v>37</v>
      </c>
      <c r="E25" s="3">
        <v>936.05</v>
      </c>
      <c r="F25" s="3">
        <v>936.05</v>
      </c>
      <c r="G25" t="s">
        <v>38</v>
      </c>
      <c r="H25" t="s">
        <v>39</v>
      </c>
    </row>
    <row r="26" spans="1:8" x14ac:dyDescent="0.25">
      <c r="A26" s="2">
        <v>45713</v>
      </c>
      <c r="B26" t="s">
        <v>12</v>
      </c>
      <c r="C26" t="s">
        <v>25</v>
      </c>
      <c r="E26" s="3">
        <v>126.7</v>
      </c>
      <c r="F26" s="5">
        <v>126.7</v>
      </c>
      <c r="G26" t="s">
        <v>17</v>
      </c>
      <c r="H26" t="s">
        <v>18</v>
      </c>
    </row>
    <row r="27" spans="1:8" x14ac:dyDescent="0.25">
      <c r="A27" s="2">
        <v>45720</v>
      </c>
      <c r="B27" t="s">
        <v>12</v>
      </c>
      <c r="C27" t="s">
        <v>25</v>
      </c>
      <c r="E27" s="3">
        <v>161.01</v>
      </c>
      <c r="F27" s="5">
        <v>161.01</v>
      </c>
      <c r="G27" t="s">
        <v>17</v>
      </c>
      <c r="H27" t="s">
        <v>18</v>
      </c>
    </row>
    <row r="28" spans="1:8" x14ac:dyDescent="0.25">
      <c r="A28" s="2">
        <v>45726</v>
      </c>
      <c r="B28" t="s">
        <v>12</v>
      </c>
      <c r="C28" t="s">
        <v>28</v>
      </c>
      <c r="E28" s="3">
        <v>2260</v>
      </c>
      <c r="F28" s="5">
        <v>2260</v>
      </c>
      <c r="G28" t="s">
        <v>17</v>
      </c>
      <c r="H28" t="s">
        <v>29</v>
      </c>
    </row>
    <row r="29" spans="1:8" x14ac:dyDescent="0.25">
      <c r="A29" s="2">
        <v>45726</v>
      </c>
      <c r="B29" t="s">
        <v>12</v>
      </c>
      <c r="C29" t="s">
        <v>40</v>
      </c>
      <c r="D29" s="3">
        <v>2549</v>
      </c>
      <c r="F29" s="6">
        <v>-2549</v>
      </c>
      <c r="G29" t="s">
        <v>22</v>
      </c>
      <c r="H29" t="s">
        <v>23</v>
      </c>
    </row>
    <row r="30" spans="1:8" x14ac:dyDescent="0.25">
      <c r="A30" s="2">
        <v>45727</v>
      </c>
      <c r="B30" t="s">
        <v>12</v>
      </c>
      <c r="C30" t="s">
        <v>25</v>
      </c>
      <c r="E30" s="3">
        <v>167.56</v>
      </c>
      <c r="F30" s="5">
        <v>167.56</v>
      </c>
      <c r="G30" t="s">
        <v>17</v>
      </c>
      <c r="H30" t="s">
        <v>18</v>
      </c>
    </row>
    <row r="31" spans="1:8" x14ac:dyDescent="0.25">
      <c r="A31" s="2">
        <v>45734</v>
      </c>
      <c r="B31" t="s">
        <v>12</v>
      </c>
      <c r="C31" t="s">
        <v>25</v>
      </c>
      <c r="E31" s="3">
        <v>248.21</v>
      </c>
      <c r="F31" s="5">
        <v>248.21</v>
      </c>
      <c r="G31" t="s">
        <v>17</v>
      </c>
      <c r="H31" t="s">
        <v>18</v>
      </c>
    </row>
    <row r="32" spans="1:8" x14ac:dyDescent="0.25">
      <c r="A32" s="2">
        <v>45737</v>
      </c>
      <c r="B32" t="s">
        <v>12</v>
      </c>
      <c r="C32" t="s">
        <v>28</v>
      </c>
      <c r="E32" s="3">
        <v>4520</v>
      </c>
      <c r="F32" s="5">
        <v>4520</v>
      </c>
      <c r="G32" t="s">
        <v>17</v>
      </c>
      <c r="H32" t="s">
        <v>29</v>
      </c>
    </row>
    <row r="33" spans="1:8" x14ac:dyDescent="0.25">
      <c r="A33" s="2">
        <v>45737</v>
      </c>
      <c r="B33" t="s">
        <v>12</v>
      </c>
      <c r="C33" t="s">
        <v>40</v>
      </c>
      <c r="D33" s="3">
        <v>4900.5</v>
      </c>
      <c r="F33" s="6">
        <v>-4900.5</v>
      </c>
      <c r="G33" t="s">
        <v>22</v>
      </c>
      <c r="H33" t="s">
        <v>23</v>
      </c>
    </row>
    <row r="34" spans="1:8" x14ac:dyDescent="0.25">
      <c r="A34" s="2">
        <v>45741</v>
      </c>
      <c r="B34" t="s">
        <v>12</v>
      </c>
      <c r="C34" t="s">
        <v>25</v>
      </c>
      <c r="E34" s="3">
        <v>120.66</v>
      </c>
      <c r="F34" s="5">
        <v>120.66</v>
      </c>
      <c r="G34" t="s">
        <v>17</v>
      </c>
      <c r="H34" t="s">
        <v>18</v>
      </c>
    </row>
    <row r="35" spans="1:8" x14ac:dyDescent="0.25">
      <c r="A35" s="2">
        <v>45741</v>
      </c>
      <c r="B35" t="s">
        <v>12</v>
      </c>
      <c r="C35" t="s">
        <v>40</v>
      </c>
      <c r="D35" s="3">
        <v>150</v>
      </c>
      <c r="F35" s="6">
        <v>-150</v>
      </c>
      <c r="G35" t="s">
        <v>22</v>
      </c>
      <c r="H35" t="s">
        <v>23</v>
      </c>
    </row>
    <row r="36" spans="1:8" x14ac:dyDescent="0.25">
      <c r="A36" s="2">
        <v>45747</v>
      </c>
      <c r="B36" t="s">
        <v>12</v>
      </c>
      <c r="C36" t="s">
        <v>40</v>
      </c>
      <c r="E36" s="3">
        <v>188.84</v>
      </c>
      <c r="F36" s="4">
        <v>188.84</v>
      </c>
      <c r="G36" t="s">
        <v>14</v>
      </c>
      <c r="H36" t="s">
        <v>41</v>
      </c>
    </row>
    <row r="37" spans="1:8" x14ac:dyDescent="0.25">
      <c r="A37" s="2">
        <v>45747</v>
      </c>
      <c r="B37" t="s">
        <v>12</v>
      </c>
      <c r="C37" t="s">
        <v>42</v>
      </c>
      <c r="D37" s="3">
        <v>195</v>
      </c>
      <c r="F37" s="4">
        <v>-195</v>
      </c>
      <c r="G37" t="s">
        <v>14</v>
      </c>
      <c r="H37" t="s">
        <v>41</v>
      </c>
    </row>
    <row r="38" spans="1:8" x14ac:dyDescent="0.25">
      <c r="A38" s="2">
        <v>45748</v>
      </c>
      <c r="B38" t="s">
        <v>12</v>
      </c>
      <c r="C38" t="s">
        <v>25</v>
      </c>
      <c r="E38" s="3">
        <v>210.77</v>
      </c>
      <c r="F38" s="5">
        <v>210.77</v>
      </c>
      <c r="G38" t="s">
        <v>17</v>
      </c>
      <c r="H38" t="s">
        <v>18</v>
      </c>
    </row>
    <row r="39" spans="1:8" x14ac:dyDescent="0.25">
      <c r="A39" s="2">
        <v>45748</v>
      </c>
      <c r="B39" t="s">
        <v>12</v>
      </c>
      <c r="C39" t="s">
        <v>40</v>
      </c>
      <c r="D39" s="3">
        <v>211</v>
      </c>
      <c r="F39" s="6">
        <v>-211</v>
      </c>
      <c r="G39" t="s">
        <v>22</v>
      </c>
      <c r="H39" t="s">
        <v>23</v>
      </c>
    </row>
    <row r="40" spans="1:8" x14ac:dyDescent="0.25">
      <c r="A40" s="2">
        <v>45755</v>
      </c>
      <c r="B40" t="s">
        <v>12</v>
      </c>
      <c r="C40" t="s">
        <v>25</v>
      </c>
      <c r="E40" s="3">
        <v>130.01</v>
      </c>
      <c r="F40" s="5">
        <v>130.01</v>
      </c>
      <c r="G40" t="s">
        <v>17</v>
      </c>
      <c r="H40" t="s">
        <v>18</v>
      </c>
    </row>
    <row r="41" spans="1:8" x14ac:dyDescent="0.25">
      <c r="A41" s="2">
        <v>45762</v>
      </c>
      <c r="B41" t="s">
        <v>12</v>
      </c>
      <c r="C41" t="s">
        <v>25</v>
      </c>
      <c r="E41" s="3">
        <v>47.27</v>
      </c>
      <c r="F41" s="5">
        <v>47.27</v>
      </c>
      <c r="G41" t="s">
        <v>17</v>
      </c>
      <c r="H41" t="s">
        <v>18</v>
      </c>
    </row>
    <row r="42" spans="1:8" x14ac:dyDescent="0.25">
      <c r="A42" s="2">
        <v>45768</v>
      </c>
      <c r="B42" t="s">
        <v>12</v>
      </c>
      <c r="C42" t="s">
        <v>28</v>
      </c>
      <c r="E42" s="3">
        <v>4520</v>
      </c>
      <c r="F42" s="5">
        <v>4520</v>
      </c>
      <c r="G42" t="s">
        <v>17</v>
      </c>
      <c r="H42" t="s">
        <v>29</v>
      </c>
    </row>
    <row r="43" spans="1:8" x14ac:dyDescent="0.25">
      <c r="A43" s="2">
        <v>45768</v>
      </c>
      <c r="B43" t="s">
        <v>12</v>
      </c>
      <c r="C43" t="s">
        <v>40</v>
      </c>
      <c r="D43" s="3">
        <v>4696</v>
      </c>
      <c r="F43" s="6">
        <v>-4696</v>
      </c>
      <c r="G43" t="s">
        <v>22</v>
      </c>
      <c r="H43" t="s">
        <v>23</v>
      </c>
    </row>
    <row r="44" spans="1:8" x14ac:dyDescent="0.25">
      <c r="A44" s="2">
        <v>45769</v>
      </c>
      <c r="B44" t="s">
        <v>12</v>
      </c>
      <c r="C44" t="s">
        <v>25</v>
      </c>
      <c r="E44" s="3">
        <v>133.71</v>
      </c>
      <c r="F44" s="5">
        <v>133.71</v>
      </c>
      <c r="G44" t="s">
        <v>17</v>
      </c>
      <c r="H44" t="s">
        <v>18</v>
      </c>
    </row>
    <row r="45" spans="1:8" x14ac:dyDescent="0.25">
      <c r="A45" s="2">
        <v>45775</v>
      </c>
      <c r="B45" t="s">
        <v>12</v>
      </c>
      <c r="C45" t="s">
        <v>40</v>
      </c>
      <c r="E45" s="3">
        <v>9950.59</v>
      </c>
      <c r="F45" s="4">
        <v>9950.59</v>
      </c>
      <c r="G45" t="s">
        <v>14</v>
      </c>
      <c r="H45" t="s">
        <v>41</v>
      </c>
    </row>
    <row r="46" spans="1:8" x14ac:dyDescent="0.25">
      <c r="A46" s="2">
        <v>45775</v>
      </c>
      <c r="B46" t="s">
        <v>12</v>
      </c>
      <c r="C46" t="s">
        <v>43</v>
      </c>
      <c r="D46" s="3">
        <v>9999.9500000000007</v>
      </c>
      <c r="F46" s="4">
        <v>-9999.9500000000007</v>
      </c>
      <c r="G46" t="s">
        <v>14</v>
      </c>
      <c r="H46" t="s">
        <v>41</v>
      </c>
    </row>
    <row r="47" spans="1:8" x14ac:dyDescent="0.25">
      <c r="A47" s="2">
        <v>45776</v>
      </c>
      <c r="B47" t="s">
        <v>12</v>
      </c>
      <c r="C47" t="s">
        <v>25</v>
      </c>
      <c r="E47" s="3">
        <v>81.099999999999994</v>
      </c>
      <c r="F47" s="5">
        <v>81.099999999999994</v>
      </c>
      <c r="G47" t="s">
        <v>17</v>
      </c>
      <c r="H47" t="s">
        <v>18</v>
      </c>
    </row>
    <row r="48" spans="1:8" x14ac:dyDescent="0.25">
      <c r="A48" s="2">
        <v>45776</v>
      </c>
      <c r="B48" t="s">
        <v>12</v>
      </c>
      <c r="C48" t="s">
        <v>40</v>
      </c>
      <c r="E48" s="3">
        <v>10000.01</v>
      </c>
      <c r="F48" s="4">
        <v>10000.01</v>
      </c>
      <c r="G48" t="s">
        <v>14</v>
      </c>
      <c r="H48" t="s">
        <v>41</v>
      </c>
    </row>
    <row r="49" spans="1:8" x14ac:dyDescent="0.25">
      <c r="A49" s="2">
        <v>45776</v>
      </c>
      <c r="B49" t="s">
        <v>12</v>
      </c>
      <c r="C49" t="s">
        <v>44</v>
      </c>
      <c r="D49" s="3">
        <v>9999.9699999999993</v>
      </c>
      <c r="F49" s="4">
        <v>-9999.9699999999993</v>
      </c>
      <c r="G49" t="s">
        <v>14</v>
      </c>
      <c r="H49" t="s">
        <v>41</v>
      </c>
    </row>
    <row r="50" spans="1:8" x14ac:dyDescent="0.25">
      <c r="A50" s="2">
        <v>45777</v>
      </c>
      <c r="B50" t="s">
        <v>12</v>
      </c>
      <c r="C50" t="s">
        <v>40</v>
      </c>
      <c r="D50" s="3">
        <v>167</v>
      </c>
      <c r="F50" s="6">
        <v>-167</v>
      </c>
      <c r="G50" t="s">
        <v>22</v>
      </c>
      <c r="H50" t="s">
        <v>23</v>
      </c>
    </row>
    <row r="51" spans="1:8" x14ac:dyDescent="0.25">
      <c r="A51" s="2">
        <v>45783</v>
      </c>
      <c r="B51" t="s">
        <v>12</v>
      </c>
      <c r="C51" t="s">
        <v>25</v>
      </c>
      <c r="E51" s="3">
        <v>150.97</v>
      </c>
      <c r="F51" s="5">
        <v>150.97</v>
      </c>
      <c r="G51" t="s">
        <v>17</v>
      </c>
      <c r="H51" t="s">
        <v>18</v>
      </c>
    </row>
    <row r="52" spans="1:8" x14ac:dyDescent="0.25">
      <c r="A52" s="2">
        <v>45783</v>
      </c>
      <c r="B52" t="s">
        <v>12</v>
      </c>
      <c r="C52" t="s">
        <v>40</v>
      </c>
      <c r="D52" s="3">
        <v>15.01</v>
      </c>
      <c r="F52" s="6">
        <v>-15.01</v>
      </c>
      <c r="G52" t="s">
        <v>22</v>
      </c>
      <c r="H52" t="s">
        <v>23</v>
      </c>
    </row>
    <row r="53" spans="1:8" x14ac:dyDescent="0.25">
      <c r="A53" s="2">
        <v>45783</v>
      </c>
      <c r="B53" t="s">
        <v>12</v>
      </c>
      <c r="C53" t="s">
        <v>40</v>
      </c>
      <c r="D53" s="3">
        <v>135</v>
      </c>
      <c r="F53" s="6">
        <v>-135</v>
      </c>
      <c r="G53" t="s">
        <v>22</v>
      </c>
      <c r="H53" t="s">
        <v>23</v>
      </c>
    </row>
    <row r="54" spans="1:8" x14ac:dyDescent="0.25">
      <c r="A54" s="2">
        <v>45790</v>
      </c>
      <c r="B54" t="s">
        <v>12</v>
      </c>
      <c r="C54" t="s">
        <v>25</v>
      </c>
      <c r="E54" s="3">
        <v>146.72</v>
      </c>
      <c r="F54" s="5">
        <v>146.72</v>
      </c>
      <c r="G54" t="s">
        <v>17</v>
      </c>
      <c r="H54" t="s">
        <v>18</v>
      </c>
    </row>
    <row r="55" spans="1:8" x14ac:dyDescent="0.25">
      <c r="A55" s="2">
        <v>45797</v>
      </c>
      <c r="B55" t="s">
        <v>12</v>
      </c>
      <c r="C55" t="s">
        <v>25</v>
      </c>
      <c r="E55" s="3">
        <v>131.31</v>
      </c>
      <c r="F55" s="5">
        <v>131.31</v>
      </c>
      <c r="G55" t="s">
        <v>17</v>
      </c>
      <c r="H55" t="s">
        <v>18</v>
      </c>
    </row>
    <row r="56" spans="1:8" x14ac:dyDescent="0.25">
      <c r="A56" s="2">
        <v>45800</v>
      </c>
      <c r="B56" t="s">
        <v>12</v>
      </c>
      <c r="C56" t="s">
        <v>28</v>
      </c>
      <c r="E56" s="3">
        <v>4520</v>
      </c>
      <c r="F56" s="5">
        <v>4520</v>
      </c>
      <c r="G56" t="s">
        <v>17</v>
      </c>
      <c r="H56" t="s">
        <v>29</v>
      </c>
    </row>
    <row r="57" spans="1:8" x14ac:dyDescent="0.25">
      <c r="A57" s="2">
        <v>45800</v>
      </c>
      <c r="B57" t="s">
        <v>12</v>
      </c>
      <c r="C57" t="s">
        <v>45</v>
      </c>
      <c r="D57" s="3">
        <v>4790.03</v>
      </c>
      <c r="F57" s="6">
        <v>-4790.03</v>
      </c>
      <c r="G57" t="s">
        <v>22</v>
      </c>
      <c r="H57" t="s">
        <v>23</v>
      </c>
    </row>
    <row r="58" spans="1:8" x14ac:dyDescent="0.25">
      <c r="A58" s="2">
        <v>45804</v>
      </c>
      <c r="B58" t="s">
        <v>12</v>
      </c>
      <c r="C58" t="s">
        <v>25</v>
      </c>
      <c r="E58" s="3">
        <v>31.15</v>
      </c>
      <c r="F58" s="5">
        <v>31.15</v>
      </c>
      <c r="G58" t="s">
        <v>17</v>
      </c>
      <c r="H58" t="s">
        <v>18</v>
      </c>
    </row>
    <row r="59" spans="1:8" x14ac:dyDescent="0.25">
      <c r="A59" s="2">
        <v>45806</v>
      </c>
      <c r="B59" t="s">
        <v>12</v>
      </c>
      <c r="C59" t="s">
        <v>40</v>
      </c>
      <c r="E59" s="3">
        <v>6900</v>
      </c>
      <c r="F59" s="4">
        <v>6900</v>
      </c>
      <c r="G59" t="s">
        <v>14</v>
      </c>
      <c r="H59" t="s">
        <v>41</v>
      </c>
    </row>
    <row r="60" spans="1:8" x14ac:dyDescent="0.25">
      <c r="A60" s="2">
        <v>45806</v>
      </c>
      <c r="B60" t="s">
        <v>12</v>
      </c>
      <c r="C60" t="s">
        <v>46</v>
      </c>
      <c r="D60" s="3">
        <v>6930.15</v>
      </c>
      <c r="F60" s="4">
        <v>-6930.15</v>
      </c>
      <c r="G60" t="s">
        <v>14</v>
      </c>
      <c r="H60" t="s">
        <v>41</v>
      </c>
    </row>
    <row r="61" spans="1:8" x14ac:dyDescent="0.25">
      <c r="A61" s="2">
        <v>45811</v>
      </c>
      <c r="B61" t="s">
        <v>12</v>
      </c>
      <c r="C61" t="s">
        <v>25</v>
      </c>
      <c r="E61" s="3">
        <v>97.53</v>
      </c>
      <c r="F61" s="5">
        <v>97.53</v>
      </c>
      <c r="G61" t="s">
        <v>17</v>
      </c>
      <c r="H61" t="s">
        <v>18</v>
      </c>
    </row>
    <row r="62" spans="1:8" x14ac:dyDescent="0.25">
      <c r="A62" s="2">
        <v>45818</v>
      </c>
      <c r="B62" t="s">
        <v>12</v>
      </c>
      <c r="C62" t="s">
        <v>25</v>
      </c>
      <c r="E62" s="3">
        <v>89.65</v>
      </c>
      <c r="F62" s="5">
        <v>89.65</v>
      </c>
      <c r="G62" t="s">
        <v>17</v>
      </c>
      <c r="H62" t="s">
        <v>18</v>
      </c>
    </row>
    <row r="63" spans="1:8" x14ac:dyDescent="0.25">
      <c r="A63" s="2">
        <v>45825</v>
      </c>
      <c r="B63" t="s">
        <v>12</v>
      </c>
      <c r="C63" t="s">
        <v>25</v>
      </c>
      <c r="E63" s="3">
        <v>138.21</v>
      </c>
      <c r="F63" s="5">
        <v>138.21</v>
      </c>
      <c r="G63" t="s">
        <v>17</v>
      </c>
      <c r="H63" t="s">
        <v>18</v>
      </c>
    </row>
    <row r="64" spans="1:8" x14ac:dyDescent="0.25">
      <c r="A64" s="2">
        <v>45825</v>
      </c>
      <c r="B64" t="s">
        <v>12</v>
      </c>
      <c r="C64" t="s">
        <v>28</v>
      </c>
      <c r="E64" s="3">
        <v>2260</v>
      </c>
      <c r="F64" s="5">
        <v>2260</v>
      </c>
      <c r="G64" t="s">
        <v>17</v>
      </c>
      <c r="H64" t="s">
        <v>29</v>
      </c>
    </row>
    <row r="65" spans="1:8" x14ac:dyDescent="0.25">
      <c r="A65" s="2">
        <v>45825</v>
      </c>
      <c r="B65" t="s">
        <v>12</v>
      </c>
      <c r="C65" t="s">
        <v>40</v>
      </c>
      <c r="D65" s="3">
        <v>2590.39</v>
      </c>
      <c r="F65" s="6">
        <v>-2590.39</v>
      </c>
      <c r="G65" t="s">
        <v>22</v>
      </c>
      <c r="H65" t="s">
        <v>23</v>
      </c>
    </row>
    <row r="66" spans="1:8" x14ac:dyDescent="0.25">
      <c r="A66" s="2">
        <v>45831</v>
      </c>
      <c r="B66" t="s">
        <v>12</v>
      </c>
      <c r="C66" t="s">
        <v>28</v>
      </c>
      <c r="E66" s="3">
        <v>2260</v>
      </c>
      <c r="F66" s="5">
        <v>2260</v>
      </c>
      <c r="G66" t="s">
        <v>17</v>
      </c>
      <c r="H66" t="s">
        <v>29</v>
      </c>
    </row>
    <row r="67" spans="1:8" x14ac:dyDescent="0.25">
      <c r="A67" s="2">
        <v>45831</v>
      </c>
      <c r="B67" t="s">
        <v>12</v>
      </c>
      <c r="C67" t="s">
        <v>40</v>
      </c>
      <c r="D67" s="3">
        <v>2260</v>
      </c>
      <c r="F67" s="6">
        <v>-2260</v>
      </c>
      <c r="G67" t="s">
        <v>22</v>
      </c>
      <c r="H67" t="s">
        <v>23</v>
      </c>
    </row>
    <row r="68" spans="1:8" x14ac:dyDescent="0.25">
      <c r="A68" s="2">
        <v>45832</v>
      </c>
      <c r="B68" t="s">
        <v>12</v>
      </c>
      <c r="C68" t="s">
        <v>25</v>
      </c>
      <c r="E68" s="3">
        <v>84.41</v>
      </c>
      <c r="F68" s="5">
        <v>84.41</v>
      </c>
      <c r="G68" t="s">
        <v>17</v>
      </c>
      <c r="H68" t="s">
        <v>18</v>
      </c>
    </row>
    <row r="69" spans="1:8" x14ac:dyDescent="0.25">
      <c r="A69" s="2">
        <v>45840</v>
      </c>
      <c r="B69" t="s">
        <v>12</v>
      </c>
      <c r="C69" t="s">
        <v>25</v>
      </c>
      <c r="E69" s="3">
        <v>123.59</v>
      </c>
      <c r="F69" s="5">
        <v>123.59</v>
      </c>
      <c r="G69" t="s">
        <v>17</v>
      </c>
      <c r="H69" t="s">
        <v>18</v>
      </c>
    </row>
    <row r="70" spans="1:8" x14ac:dyDescent="0.25">
      <c r="A70" s="2">
        <v>45846</v>
      </c>
      <c r="B70" t="s">
        <v>12</v>
      </c>
      <c r="C70" t="s">
        <v>25</v>
      </c>
      <c r="E70" s="3">
        <v>134.79</v>
      </c>
      <c r="F70" s="5">
        <v>134.79</v>
      </c>
      <c r="G70" t="s">
        <v>17</v>
      </c>
      <c r="H70" t="s">
        <v>18</v>
      </c>
    </row>
    <row r="71" spans="1:8" x14ac:dyDescent="0.25">
      <c r="A71" s="2">
        <v>45853</v>
      </c>
      <c r="B71" t="s">
        <v>12</v>
      </c>
      <c r="C71" t="s">
        <v>25</v>
      </c>
      <c r="E71" s="3">
        <v>113.97</v>
      </c>
      <c r="F71" s="5">
        <v>113.97</v>
      </c>
      <c r="G71" t="s">
        <v>17</v>
      </c>
      <c r="H71" t="s">
        <v>18</v>
      </c>
    </row>
    <row r="72" spans="1:8" x14ac:dyDescent="0.25">
      <c r="A72" s="2">
        <v>45856</v>
      </c>
      <c r="B72" t="s">
        <v>12</v>
      </c>
      <c r="C72" t="s">
        <v>28</v>
      </c>
      <c r="E72" s="3">
        <v>4520</v>
      </c>
      <c r="F72" s="5">
        <v>4520</v>
      </c>
      <c r="G72" t="s">
        <v>17</v>
      </c>
      <c r="H72" t="s">
        <v>29</v>
      </c>
    </row>
    <row r="73" spans="1:8" x14ac:dyDescent="0.25">
      <c r="A73" s="2">
        <v>45856</v>
      </c>
      <c r="B73" t="s">
        <v>12</v>
      </c>
      <c r="C73" t="s">
        <v>47</v>
      </c>
      <c r="D73" s="3">
        <v>4980</v>
      </c>
      <c r="F73" s="6">
        <v>-4980</v>
      </c>
      <c r="G73" t="s">
        <v>22</v>
      </c>
      <c r="H73" t="s">
        <v>23</v>
      </c>
    </row>
    <row r="74" spans="1:8" x14ac:dyDescent="0.25">
      <c r="A74" s="2">
        <v>45860</v>
      </c>
      <c r="B74" t="s">
        <v>12</v>
      </c>
      <c r="C74" t="s">
        <v>25</v>
      </c>
      <c r="E74" s="3">
        <v>106.27</v>
      </c>
      <c r="F74" s="5">
        <v>106.27</v>
      </c>
      <c r="G74" t="s">
        <v>17</v>
      </c>
      <c r="H74" t="s">
        <v>18</v>
      </c>
    </row>
    <row r="75" spans="1:8" x14ac:dyDescent="0.25">
      <c r="A75" s="2">
        <v>45867</v>
      </c>
      <c r="B75" t="s">
        <v>12</v>
      </c>
      <c r="C75" t="s">
        <v>25</v>
      </c>
      <c r="E75" s="3">
        <v>89.89</v>
      </c>
      <c r="F75" s="5">
        <v>89.89</v>
      </c>
      <c r="G75" t="s">
        <v>17</v>
      </c>
      <c r="H75" t="s">
        <v>18</v>
      </c>
    </row>
    <row r="76" spans="1:8" x14ac:dyDescent="0.25">
      <c r="A76" s="2">
        <v>45869</v>
      </c>
      <c r="B76" t="s">
        <v>12</v>
      </c>
      <c r="C76" t="s">
        <v>40</v>
      </c>
      <c r="D76" s="3">
        <v>190.92</v>
      </c>
      <c r="F76" s="6">
        <v>-190.92</v>
      </c>
      <c r="G76" t="s">
        <v>22</v>
      </c>
      <c r="H76" t="s">
        <v>23</v>
      </c>
    </row>
    <row r="77" spans="1:8" x14ac:dyDescent="0.25">
      <c r="A77" s="2">
        <v>45874</v>
      </c>
      <c r="B77" t="s">
        <v>12</v>
      </c>
      <c r="C77" t="s">
        <v>25</v>
      </c>
      <c r="E77" s="3">
        <v>50.26</v>
      </c>
      <c r="F77" s="5">
        <v>50.26</v>
      </c>
      <c r="G77" t="s">
        <v>17</v>
      </c>
      <c r="H77" t="s">
        <v>18</v>
      </c>
    </row>
    <row r="78" spans="1:8" x14ac:dyDescent="0.25">
      <c r="A78" s="2">
        <v>45883</v>
      </c>
      <c r="B78" t="s">
        <v>12</v>
      </c>
      <c r="C78" t="s">
        <v>40</v>
      </c>
      <c r="D78" s="3">
        <v>57</v>
      </c>
      <c r="F78" s="6">
        <v>-57</v>
      </c>
      <c r="G78" t="s">
        <v>22</v>
      </c>
      <c r="H78" t="s">
        <v>23</v>
      </c>
    </row>
    <row r="79" spans="1:8" x14ac:dyDescent="0.25">
      <c r="A79" s="2">
        <v>45884</v>
      </c>
      <c r="B79" t="s">
        <v>12</v>
      </c>
      <c r="C79" t="s">
        <v>28</v>
      </c>
      <c r="E79" s="3">
        <v>2260</v>
      </c>
      <c r="F79" s="5">
        <v>2260</v>
      </c>
      <c r="G79" t="s">
        <v>17</v>
      </c>
      <c r="H79" t="s">
        <v>29</v>
      </c>
    </row>
    <row r="80" spans="1:8" x14ac:dyDescent="0.25">
      <c r="A80" s="2">
        <v>45884</v>
      </c>
      <c r="B80" t="s">
        <v>12</v>
      </c>
      <c r="C80" t="s">
        <v>40</v>
      </c>
      <c r="D80" s="3">
        <v>2260</v>
      </c>
      <c r="F80" s="6">
        <v>-2260</v>
      </c>
      <c r="G80" t="s">
        <v>22</v>
      </c>
      <c r="H80" t="s">
        <v>23</v>
      </c>
    </row>
    <row r="81" spans="1:8" x14ac:dyDescent="0.25">
      <c r="A81" s="2">
        <v>45891</v>
      </c>
      <c r="B81" t="s">
        <v>12</v>
      </c>
      <c r="C81" t="s">
        <v>28</v>
      </c>
      <c r="E81" s="3">
        <v>2260</v>
      </c>
      <c r="F81" s="5">
        <v>2260</v>
      </c>
      <c r="G81" t="s">
        <v>17</v>
      </c>
      <c r="H81" t="s">
        <v>29</v>
      </c>
    </row>
    <row r="82" spans="1:8" x14ac:dyDescent="0.25">
      <c r="A82" s="2">
        <v>45891</v>
      </c>
      <c r="B82" t="s">
        <v>12</v>
      </c>
      <c r="C82" t="s">
        <v>40</v>
      </c>
      <c r="D82" s="3">
        <v>2260</v>
      </c>
      <c r="F82" s="6">
        <v>-2260</v>
      </c>
      <c r="G82" t="s">
        <v>22</v>
      </c>
      <c r="H82" t="s">
        <v>23</v>
      </c>
    </row>
    <row r="83" spans="1:8" x14ac:dyDescent="0.25">
      <c r="A83" s="2">
        <v>45902</v>
      </c>
      <c r="B83" t="s">
        <v>12</v>
      </c>
      <c r="C83" t="s">
        <v>28</v>
      </c>
      <c r="E83" s="3">
        <v>2260</v>
      </c>
      <c r="F83" s="5">
        <v>2260</v>
      </c>
      <c r="G83" t="s">
        <v>17</v>
      </c>
      <c r="H83" t="s">
        <v>29</v>
      </c>
    </row>
    <row r="84" spans="1:8" x14ac:dyDescent="0.25">
      <c r="A84" s="2">
        <v>45902</v>
      </c>
      <c r="B84" t="s">
        <v>12</v>
      </c>
      <c r="C84" t="s">
        <v>40</v>
      </c>
      <c r="D84" s="3">
        <v>2260</v>
      </c>
      <c r="F84" s="6">
        <v>-2260</v>
      </c>
      <c r="G84" t="s">
        <v>22</v>
      </c>
      <c r="H84" t="s">
        <v>23</v>
      </c>
    </row>
    <row r="85" spans="1:8" x14ac:dyDescent="0.25">
      <c r="A85" s="2">
        <v>45926</v>
      </c>
      <c r="B85" t="s">
        <v>12</v>
      </c>
      <c r="C85" t="s">
        <v>48</v>
      </c>
      <c r="E85" s="3">
        <v>4520</v>
      </c>
      <c r="F85" s="5">
        <v>4520</v>
      </c>
      <c r="G85" t="s">
        <v>17</v>
      </c>
      <c r="H85" t="s">
        <v>49</v>
      </c>
    </row>
    <row r="86" spans="1:8" x14ac:dyDescent="0.25">
      <c r="A86" s="2">
        <v>45929</v>
      </c>
      <c r="B86" t="s">
        <v>12</v>
      </c>
      <c r="C86" t="s">
        <v>50</v>
      </c>
      <c r="D86" s="3">
        <v>0.2</v>
      </c>
      <c r="F86" s="4">
        <v>-0.2</v>
      </c>
      <c r="G86" t="s">
        <v>14</v>
      </c>
      <c r="H86" t="s">
        <v>15</v>
      </c>
    </row>
    <row r="87" spans="1:8" x14ac:dyDescent="0.25">
      <c r="A87" s="2">
        <v>45933</v>
      </c>
      <c r="B87" t="s">
        <v>12</v>
      </c>
      <c r="C87" t="s">
        <v>40</v>
      </c>
      <c r="E87" s="3">
        <v>6000.66</v>
      </c>
      <c r="F87" s="4">
        <v>6000.66</v>
      </c>
      <c r="G87" t="s">
        <v>14</v>
      </c>
      <c r="H87" t="s">
        <v>41</v>
      </c>
    </row>
    <row r="88" spans="1:8" x14ac:dyDescent="0.25">
      <c r="A88" s="2">
        <v>45933</v>
      </c>
      <c r="B88" t="s">
        <v>12</v>
      </c>
      <c r="C88" t="s">
        <v>51</v>
      </c>
      <c r="D88" s="3">
        <v>6000.02</v>
      </c>
      <c r="F88" s="4">
        <v>-6000.02</v>
      </c>
      <c r="G88" t="s">
        <v>14</v>
      </c>
      <c r="H88" t="s">
        <v>41</v>
      </c>
    </row>
    <row r="89" spans="1:8" x14ac:dyDescent="0.25">
      <c r="A89" s="2">
        <v>45936</v>
      </c>
      <c r="B89" t="s">
        <v>12</v>
      </c>
      <c r="C89" t="s">
        <v>40</v>
      </c>
      <c r="D89" s="3">
        <v>4520</v>
      </c>
      <c r="F89" s="6">
        <v>-4520</v>
      </c>
      <c r="G89" t="s">
        <v>22</v>
      </c>
      <c r="H89" t="s">
        <v>23</v>
      </c>
    </row>
    <row r="90" spans="1:8" x14ac:dyDescent="0.25">
      <c r="A90" s="2">
        <v>45944</v>
      </c>
      <c r="B90" t="s">
        <v>12</v>
      </c>
      <c r="C90" t="s">
        <v>48</v>
      </c>
      <c r="E90" s="3">
        <v>2260</v>
      </c>
      <c r="F90" s="5">
        <v>2260</v>
      </c>
      <c r="G90" t="s">
        <v>17</v>
      </c>
      <c r="H90" t="s">
        <v>49</v>
      </c>
    </row>
    <row r="91" spans="1:8" x14ac:dyDescent="0.25">
      <c r="A91" s="2">
        <v>45952</v>
      </c>
      <c r="B91" t="s">
        <v>12</v>
      </c>
      <c r="C91" t="s">
        <v>40</v>
      </c>
      <c r="D91" s="3">
        <v>2260</v>
      </c>
      <c r="F91" s="6">
        <v>-2260</v>
      </c>
      <c r="G91" t="s">
        <v>22</v>
      </c>
      <c r="H91" t="s">
        <v>23</v>
      </c>
    </row>
    <row r="92" spans="1:8" x14ac:dyDescent="0.25">
      <c r="A92" s="2">
        <v>45961</v>
      </c>
      <c r="B92" t="s">
        <v>12</v>
      </c>
      <c r="C92" t="s">
        <v>50</v>
      </c>
      <c r="D92" s="3">
        <v>0.2</v>
      </c>
      <c r="F92" s="4">
        <v>-0.2</v>
      </c>
      <c r="G92" t="s">
        <v>14</v>
      </c>
      <c r="H92" t="s">
        <v>15</v>
      </c>
    </row>
    <row r="93" spans="1:8" x14ac:dyDescent="0.25">
      <c r="A93" s="2">
        <v>45961</v>
      </c>
      <c r="B93" t="s">
        <v>52</v>
      </c>
      <c r="C93" t="s">
        <v>53</v>
      </c>
      <c r="E93" s="3">
        <v>0.36</v>
      </c>
      <c r="F93" s="4">
        <v>0.36</v>
      </c>
      <c r="G93" t="s">
        <v>14</v>
      </c>
      <c r="H93" t="s">
        <v>15</v>
      </c>
    </row>
    <row r="94" spans="1:8" x14ac:dyDescent="0.25">
      <c r="A94" s="2">
        <v>45964</v>
      </c>
      <c r="B94" t="s">
        <v>52</v>
      </c>
      <c r="C94" t="s">
        <v>54</v>
      </c>
      <c r="E94" s="3">
        <v>0.14000000000000001</v>
      </c>
      <c r="F94" s="4">
        <v>0.14000000000000001</v>
      </c>
      <c r="G94" t="s">
        <v>14</v>
      </c>
      <c r="H94" t="s">
        <v>15</v>
      </c>
    </row>
    <row r="95" spans="1:8" x14ac:dyDescent="0.25">
      <c r="A95" s="2">
        <v>45965</v>
      </c>
      <c r="B95" t="s">
        <v>12</v>
      </c>
      <c r="C95" t="s">
        <v>55</v>
      </c>
      <c r="E95" s="3">
        <v>5</v>
      </c>
      <c r="F95" s="4">
        <v>5</v>
      </c>
      <c r="G95" t="s">
        <v>14</v>
      </c>
      <c r="H95" t="s">
        <v>56</v>
      </c>
    </row>
    <row r="96" spans="1:8" x14ac:dyDescent="0.25">
      <c r="A96" s="2">
        <v>45965</v>
      </c>
      <c r="B96" t="s">
        <v>52</v>
      </c>
      <c r="C96" t="s">
        <v>57</v>
      </c>
      <c r="D96" s="3">
        <v>5</v>
      </c>
      <c r="F96" s="3">
        <v>-5</v>
      </c>
      <c r="G96" t="s">
        <v>58</v>
      </c>
      <c r="H96" t="s">
        <v>59</v>
      </c>
    </row>
    <row r="97" spans="1:8" x14ac:dyDescent="0.25">
      <c r="A97" s="2">
        <v>45968</v>
      </c>
      <c r="B97" t="s">
        <v>12</v>
      </c>
      <c r="C97" t="s">
        <v>55</v>
      </c>
      <c r="E97" s="3">
        <v>2255</v>
      </c>
      <c r="F97" s="4">
        <v>2255</v>
      </c>
      <c r="G97" t="s">
        <v>14</v>
      </c>
      <c r="H97" t="s">
        <v>56</v>
      </c>
    </row>
    <row r="98" spans="1:8" x14ac:dyDescent="0.25">
      <c r="A98" s="2">
        <v>45968</v>
      </c>
      <c r="B98" t="s">
        <v>52</v>
      </c>
      <c r="C98" t="s">
        <v>57</v>
      </c>
      <c r="D98" s="3">
        <v>2255</v>
      </c>
      <c r="F98" s="3">
        <v>-2255</v>
      </c>
      <c r="G98" t="s">
        <v>58</v>
      </c>
      <c r="H98" t="s">
        <v>59</v>
      </c>
    </row>
    <row r="99" spans="1:8" x14ac:dyDescent="0.25">
      <c r="A99" s="2">
        <v>45971</v>
      </c>
      <c r="B99" t="s">
        <v>12</v>
      </c>
      <c r="C99" t="s">
        <v>40</v>
      </c>
      <c r="D99" s="3">
        <v>2260</v>
      </c>
      <c r="F99" s="6">
        <v>-2260</v>
      </c>
      <c r="G99" t="s">
        <v>22</v>
      </c>
      <c r="H99" t="s">
        <v>23</v>
      </c>
    </row>
    <row r="100" spans="1:8" x14ac:dyDescent="0.25">
      <c r="A100" s="2">
        <v>45975</v>
      </c>
      <c r="B100" t="s">
        <v>12</v>
      </c>
      <c r="C100" t="s">
        <v>60</v>
      </c>
      <c r="E100" s="3">
        <v>116.9</v>
      </c>
      <c r="F100" s="4">
        <v>116.9</v>
      </c>
      <c r="G100" t="s">
        <v>14</v>
      </c>
      <c r="H100" t="s">
        <v>61</v>
      </c>
    </row>
    <row r="101" spans="1:8" x14ac:dyDescent="0.25">
      <c r="A101" s="2">
        <v>45975</v>
      </c>
      <c r="B101" t="s">
        <v>12</v>
      </c>
      <c r="C101" t="s">
        <v>62</v>
      </c>
      <c r="E101" s="3">
        <v>40.5</v>
      </c>
      <c r="F101" s="4">
        <v>40.5</v>
      </c>
      <c r="G101" t="s">
        <v>14</v>
      </c>
      <c r="H101" t="s">
        <v>61</v>
      </c>
    </row>
    <row r="102" spans="1:8" x14ac:dyDescent="0.25">
      <c r="A102" s="2">
        <v>45975</v>
      </c>
      <c r="B102" t="s">
        <v>52</v>
      </c>
      <c r="C102" t="s">
        <v>54</v>
      </c>
      <c r="E102" s="3">
        <v>41.55</v>
      </c>
      <c r="F102" s="5">
        <v>41.55</v>
      </c>
      <c r="G102" t="s">
        <v>17</v>
      </c>
      <c r="H102" t="s">
        <v>63</v>
      </c>
    </row>
    <row r="103" spans="1:8" x14ac:dyDescent="0.25">
      <c r="A103" s="2">
        <v>45978</v>
      </c>
      <c r="B103" t="s">
        <v>12</v>
      </c>
      <c r="C103" t="s">
        <v>40</v>
      </c>
      <c r="D103" s="3">
        <v>157</v>
      </c>
      <c r="F103" s="6">
        <v>-157</v>
      </c>
      <c r="G103" t="s">
        <v>22</v>
      </c>
      <c r="H103" t="s">
        <v>23</v>
      </c>
    </row>
    <row r="104" spans="1:8" x14ac:dyDescent="0.25">
      <c r="A104" s="2">
        <v>45982</v>
      </c>
      <c r="B104" t="s">
        <v>52</v>
      </c>
      <c r="C104" t="s">
        <v>64</v>
      </c>
      <c r="E104" s="3">
        <v>4520</v>
      </c>
      <c r="F104" s="5">
        <v>4520</v>
      </c>
      <c r="G104" t="s">
        <v>17</v>
      </c>
      <c r="H104" t="s">
        <v>49</v>
      </c>
    </row>
    <row r="105" spans="1:8" x14ac:dyDescent="0.25">
      <c r="A105" s="2">
        <v>45990</v>
      </c>
      <c r="B105" t="s">
        <v>52</v>
      </c>
      <c r="C105" t="s">
        <v>54</v>
      </c>
      <c r="E105" s="3">
        <v>49.15</v>
      </c>
      <c r="F105" s="5">
        <v>49.15</v>
      </c>
      <c r="G105" t="s">
        <v>17</v>
      </c>
      <c r="H105" t="s">
        <v>63</v>
      </c>
    </row>
    <row r="106" spans="1:8" x14ac:dyDescent="0.25">
      <c r="A106" s="2">
        <v>45991</v>
      </c>
      <c r="B106" t="s">
        <v>52</v>
      </c>
      <c r="C106" t="s">
        <v>53</v>
      </c>
      <c r="E106" s="3">
        <v>2.37</v>
      </c>
      <c r="F106" s="4">
        <v>2.37</v>
      </c>
      <c r="G106" t="s">
        <v>14</v>
      </c>
      <c r="H106" t="s">
        <v>15</v>
      </c>
    </row>
    <row r="107" spans="1:8" x14ac:dyDescent="0.25">
      <c r="A107" s="2">
        <v>45992</v>
      </c>
      <c r="B107" t="s">
        <v>12</v>
      </c>
      <c r="C107" t="s">
        <v>55</v>
      </c>
      <c r="E107" s="3">
        <v>4610.2</v>
      </c>
      <c r="F107" s="4">
        <v>4610.2</v>
      </c>
      <c r="G107" t="s">
        <v>14</v>
      </c>
      <c r="H107" t="s">
        <v>56</v>
      </c>
    </row>
    <row r="108" spans="1:8" x14ac:dyDescent="0.25">
      <c r="A108" s="2">
        <v>45992</v>
      </c>
      <c r="B108" t="s">
        <v>52</v>
      </c>
      <c r="C108" t="s">
        <v>57</v>
      </c>
      <c r="D108" s="3">
        <v>4610.2</v>
      </c>
      <c r="F108" s="3">
        <v>-4610.2</v>
      </c>
      <c r="G108" t="s">
        <v>58</v>
      </c>
      <c r="H108" t="s">
        <v>59</v>
      </c>
    </row>
    <row r="109" spans="1:8" x14ac:dyDescent="0.25">
      <c r="A109" s="2">
        <v>45996</v>
      </c>
      <c r="B109" t="s">
        <v>12</v>
      </c>
      <c r="C109" t="s">
        <v>40</v>
      </c>
      <c r="D109" s="3">
        <v>4611</v>
      </c>
      <c r="F109" s="6">
        <v>-4611</v>
      </c>
      <c r="G109" t="s">
        <v>22</v>
      </c>
      <c r="H109" t="s">
        <v>23</v>
      </c>
    </row>
    <row r="110" spans="1:8" x14ac:dyDescent="0.25">
      <c r="A110" s="2">
        <v>46013</v>
      </c>
      <c r="B110" t="s">
        <v>52</v>
      </c>
      <c r="C110" t="s">
        <v>64</v>
      </c>
      <c r="E110" s="3">
        <v>4520</v>
      </c>
      <c r="F110" s="5">
        <v>4520</v>
      </c>
      <c r="G110" t="s">
        <v>17</v>
      </c>
      <c r="H110" t="s">
        <v>49</v>
      </c>
    </row>
    <row r="111" spans="1:8" x14ac:dyDescent="0.25">
      <c r="A111" s="2">
        <v>46015</v>
      </c>
      <c r="B111" t="s">
        <v>52</v>
      </c>
      <c r="C111" t="s">
        <v>54</v>
      </c>
      <c r="E111" s="3">
        <v>40.950000000000003</v>
      </c>
      <c r="F111" s="5">
        <v>40.950000000000003</v>
      </c>
      <c r="G111" t="s">
        <v>17</v>
      </c>
      <c r="H111" t="s">
        <v>63</v>
      </c>
    </row>
    <row r="112" spans="1:8" x14ac:dyDescent="0.25">
      <c r="A112" s="2">
        <v>46022</v>
      </c>
      <c r="B112" t="s">
        <v>12</v>
      </c>
      <c r="C112" t="s">
        <v>55</v>
      </c>
      <c r="E112" s="3">
        <v>4564</v>
      </c>
      <c r="F112" s="4">
        <v>4564</v>
      </c>
      <c r="G112" t="s">
        <v>14</v>
      </c>
      <c r="H112" t="s">
        <v>56</v>
      </c>
    </row>
    <row r="113" spans="1:8" x14ac:dyDescent="0.25">
      <c r="A113" s="2">
        <v>46022</v>
      </c>
      <c r="B113" t="s">
        <v>52</v>
      </c>
      <c r="C113" t="s">
        <v>57</v>
      </c>
      <c r="D113" s="3">
        <v>4564</v>
      </c>
      <c r="F113" s="3">
        <v>-4564</v>
      </c>
      <c r="G113" t="s">
        <v>58</v>
      </c>
      <c r="H113" t="s">
        <v>59</v>
      </c>
    </row>
    <row r="114" spans="1:8" x14ac:dyDescent="0.25">
      <c r="A114" s="2">
        <v>46022</v>
      </c>
      <c r="B114" t="s">
        <v>52</v>
      </c>
      <c r="C114" t="s">
        <v>53</v>
      </c>
      <c r="E114" s="3">
        <v>1.63</v>
      </c>
      <c r="F114" s="4">
        <v>1.63</v>
      </c>
      <c r="G114" t="s">
        <v>14</v>
      </c>
      <c r="H11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4396-4B53-4AA3-9DB6-18C844965453}">
  <dimension ref="A1:H86"/>
  <sheetViews>
    <sheetView workbookViewId="0"/>
  </sheetViews>
  <sheetFormatPr defaultRowHeight="15" x14ac:dyDescent="0.25"/>
  <cols>
    <col min="1" max="1" width="12.7109375" customWidth="1"/>
    <col min="2" max="2" width="10.7109375" customWidth="1"/>
    <col min="3" max="3" width="60.7109375" customWidth="1"/>
    <col min="4" max="6" width="12.7109375" customWidth="1"/>
    <col min="7" max="7" width="15.7109375" customWidth="1"/>
    <col min="8" max="8" width="4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45664</v>
      </c>
      <c r="B2" t="s">
        <v>8</v>
      </c>
      <c r="C2" t="s">
        <v>19</v>
      </c>
      <c r="E2" s="3">
        <v>3000</v>
      </c>
      <c r="F2" s="5">
        <v>3000</v>
      </c>
      <c r="G2" t="s">
        <v>17</v>
      </c>
      <c r="H2" t="s">
        <v>20</v>
      </c>
    </row>
    <row r="3" spans="1:8" x14ac:dyDescent="0.25">
      <c r="A3" s="2">
        <v>45926</v>
      </c>
      <c r="B3" t="s">
        <v>12</v>
      </c>
      <c r="C3" t="s">
        <v>48</v>
      </c>
      <c r="E3" s="3">
        <v>4520</v>
      </c>
      <c r="F3" s="5">
        <v>4520</v>
      </c>
      <c r="G3" t="s">
        <v>17</v>
      </c>
      <c r="H3" t="s">
        <v>49</v>
      </c>
    </row>
    <row r="4" spans="1:8" x14ac:dyDescent="0.25">
      <c r="A4" s="2">
        <v>45944</v>
      </c>
      <c r="B4" t="s">
        <v>12</v>
      </c>
      <c r="C4" t="s">
        <v>48</v>
      </c>
      <c r="E4" s="3">
        <v>2260</v>
      </c>
      <c r="F4" s="5">
        <v>2260</v>
      </c>
      <c r="G4" t="s">
        <v>17</v>
      </c>
      <c r="H4" t="s">
        <v>49</v>
      </c>
    </row>
    <row r="5" spans="1:8" x14ac:dyDescent="0.25">
      <c r="A5" s="2">
        <v>45982</v>
      </c>
      <c r="B5" t="s">
        <v>52</v>
      </c>
      <c r="C5" t="s">
        <v>64</v>
      </c>
      <c r="E5" s="3">
        <v>4520</v>
      </c>
      <c r="F5" s="5">
        <v>4520</v>
      </c>
      <c r="G5" t="s">
        <v>17</v>
      </c>
      <c r="H5" t="s">
        <v>49</v>
      </c>
    </row>
    <row r="6" spans="1:8" x14ac:dyDescent="0.25">
      <c r="A6" s="2">
        <v>46013</v>
      </c>
      <c r="B6" t="s">
        <v>52</v>
      </c>
      <c r="C6" t="s">
        <v>64</v>
      </c>
      <c r="E6" s="3">
        <v>4520</v>
      </c>
      <c r="F6" s="5">
        <v>4520</v>
      </c>
      <c r="G6" t="s">
        <v>17</v>
      </c>
      <c r="H6" t="s">
        <v>49</v>
      </c>
    </row>
    <row r="7" spans="1:8" x14ac:dyDescent="0.25">
      <c r="A7" s="2">
        <v>45686</v>
      </c>
      <c r="B7" t="s">
        <v>12</v>
      </c>
      <c r="C7" t="s">
        <v>28</v>
      </c>
      <c r="E7" s="3">
        <v>2260</v>
      </c>
      <c r="F7" s="5">
        <v>2260</v>
      </c>
      <c r="G7" t="s">
        <v>17</v>
      </c>
      <c r="H7" t="s">
        <v>29</v>
      </c>
    </row>
    <row r="8" spans="1:8" x14ac:dyDescent="0.25">
      <c r="A8" s="2">
        <v>45699</v>
      </c>
      <c r="B8" t="s">
        <v>12</v>
      </c>
      <c r="C8" t="s">
        <v>28</v>
      </c>
      <c r="E8" s="3">
        <v>2260</v>
      </c>
      <c r="F8" s="5">
        <v>2260</v>
      </c>
      <c r="G8" t="s">
        <v>17</v>
      </c>
      <c r="H8" t="s">
        <v>29</v>
      </c>
    </row>
    <row r="9" spans="1:8" x14ac:dyDescent="0.25">
      <c r="A9" s="2">
        <v>45709</v>
      </c>
      <c r="B9" t="s">
        <v>12</v>
      </c>
      <c r="C9" t="s">
        <v>28</v>
      </c>
      <c r="E9" s="3">
        <v>2260</v>
      </c>
      <c r="F9" s="5">
        <v>2260</v>
      </c>
      <c r="G9" t="s">
        <v>17</v>
      </c>
      <c r="H9" t="s">
        <v>29</v>
      </c>
    </row>
    <row r="10" spans="1:8" x14ac:dyDescent="0.25">
      <c r="A10" s="2">
        <v>45726</v>
      </c>
      <c r="B10" t="s">
        <v>12</v>
      </c>
      <c r="C10" t="s">
        <v>28</v>
      </c>
      <c r="E10" s="3">
        <v>2260</v>
      </c>
      <c r="F10" s="5">
        <v>2260</v>
      </c>
      <c r="G10" t="s">
        <v>17</v>
      </c>
      <c r="H10" t="s">
        <v>29</v>
      </c>
    </row>
    <row r="11" spans="1:8" x14ac:dyDescent="0.25">
      <c r="A11" s="2">
        <v>45737</v>
      </c>
      <c r="B11" t="s">
        <v>12</v>
      </c>
      <c r="C11" t="s">
        <v>28</v>
      </c>
      <c r="E11" s="3">
        <v>4520</v>
      </c>
      <c r="F11" s="5">
        <v>4520</v>
      </c>
      <c r="G11" t="s">
        <v>17</v>
      </c>
      <c r="H11" t="s">
        <v>29</v>
      </c>
    </row>
    <row r="12" spans="1:8" x14ac:dyDescent="0.25">
      <c r="A12" s="2">
        <v>45768</v>
      </c>
      <c r="B12" t="s">
        <v>12</v>
      </c>
      <c r="C12" t="s">
        <v>28</v>
      </c>
      <c r="E12" s="3">
        <v>4520</v>
      </c>
      <c r="F12" s="5">
        <v>4520</v>
      </c>
      <c r="G12" t="s">
        <v>17</v>
      </c>
      <c r="H12" t="s">
        <v>29</v>
      </c>
    </row>
    <row r="13" spans="1:8" x14ac:dyDescent="0.25">
      <c r="A13" s="2">
        <v>45800</v>
      </c>
      <c r="B13" t="s">
        <v>12</v>
      </c>
      <c r="C13" t="s">
        <v>28</v>
      </c>
      <c r="E13" s="3">
        <v>4520</v>
      </c>
      <c r="F13" s="5">
        <v>4520</v>
      </c>
      <c r="G13" t="s">
        <v>17</v>
      </c>
      <c r="H13" t="s">
        <v>29</v>
      </c>
    </row>
    <row r="14" spans="1:8" x14ac:dyDescent="0.25">
      <c r="A14" s="2">
        <v>45825</v>
      </c>
      <c r="B14" t="s">
        <v>12</v>
      </c>
      <c r="C14" t="s">
        <v>28</v>
      </c>
      <c r="E14" s="3">
        <v>2260</v>
      </c>
      <c r="F14" s="5">
        <v>2260</v>
      </c>
      <c r="G14" t="s">
        <v>17</v>
      </c>
      <c r="H14" t="s">
        <v>29</v>
      </c>
    </row>
    <row r="15" spans="1:8" x14ac:dyDescent="0.25">
      <c r="A15" s="2">
        <v>45831</v>
      </c>
      <c r="B15" t="s">
        <v>12</v>
      </c>
      <c r="C15" t="s">
        <v>28</v>
      </c>
      <c r="E15" s="3">
        <v>2260</v>
      </c>
      <c r="F15" s="5">
        <v>2260</v>
      </c>
      <c r="G15" t="s">
        <v>17</v>
      </c>
      <c r="H15" t="s">
        <v>29</v>
      </c>
    </row>
    <row r="16" spans="1:8" x14ac:dyDescent="0.25">
      <c r="A16" s="2">
        <v>45856</v>
      </c>
      <c r="B16" t="s">
        <v>12</v>
      </c>
      <c r="C16" t="s">
        <v>28</v>
      </c>
      <c r="E16" s="3">
        <v>4520</v>
      </c>
      <c r="F16" s="5">
        <v>4520</v>
      </c>
      <c r="G16" t="s">
        <v>17</v>
      </c>
      <c r="H16" t="s">
        <v>29</v>
      </c>
    </row>
    <row r="17" spans="1:8" x14ac:dyDescent="0.25">
      <c r="A17" s="2">
        <v>45884</v>
      </c>
      <c r="B17" t="s">
        <v>12</v>
      </c>
      <c r="C17" t="s">
        <v>28</v>
      </c>
      <c r="E17" s="3">
        <v>2260</v>
      </c>
      <c r="F17" s="5">
        <v>2260</v>
      </c>
      <c r="G17" t="s">
        <v>17</v>
      </c>
      <c r="H17" t="s">
        <v>29</v>
      </c>
    </row>
    <row r="18" spans="1:8" x14ac:dyDescent="0.25">
      <c r="A18" s="2">
        <v>45891</v>
      </c>
      <c r="B18" t="s">
        <v>12</v>
      </c>
      <c r="C18" t="s">
        <v>28</v>
      </c>
      <c r="E18" s="3">
        <v>2260</v>
      </c>
      <c r="F18" s="5">
        <v>2260</v>
      </c>
      <c r="G18" t="s">
        <v>17</v>
      </c>
      <c r="H18" t="s">
        <v>29</v>
      </c>
    </row>
    <row r="19" spans="1:8" x14ac:dyDescent="0.25">
      <c r="A19" s="2">
        <v>45902</v>
      </c>
      <c r="B19" t="s">
        <v>12</v>
      </c>
      <c r="C19" t="s">
        <v>28</v>
      </c>
      <c r="E19" s="3">
        <v>2260</v>
      </c>
      <c r="F19" s="5">
        <v>2260</v>
      </c>
      <c r="G19" t="s">
        <v>17</v>
      </c>
      <c r="H19" t="s">
        <v>29</v>
      </c>
    </row>
    <row r="20" spans="1:8" x14ac:dyDescent="0.25">
      <c r="A20" s="2">
        <v>45712</v>
      </c>
      <c r="B20" t="s">
        <v>8</v>
      </c>
      <c r="C20" t="s">
        <v>37</v>
      </c>
      <c r="E20" s="3">
        <v>936.05</v>
      </c>
      <c r="F20" s="3">
        <v>936.05</v>
      </c>
      <c r="G20" t="s">
        <v>38</v>
      </c>
      <c r="H20" t="s">
        <v>39</v>
      </c>
    </row>
    <row r="21" spans="1:8" x14ac:dyDescent="0.25">
      <c r="A21" s="2">
        <v>45664</v>
      </c>
      <c r="B21" t="s">
        <v>8</v>
      </c>
      <c r="C21" t="s">
        <v>21</v>
      </c>
      <c r="D21" s="3">
        <v>3000</v>
      </c>
      <c r="F21" s="6">
        <v>-3000</v>
      </c>
      <c r="G21" t="s">
        <v>22</v>
      </c>
      <c r="H21" t="s">
        <v>23</v>
      </c>
    </row>
    <row r="22" spans="1:8" x14ac:dyDescent="0.25">
      <c r="A22" s="2">
        <v>45681</v>
      </c>
      <c r="B22" t="s">
        <v>12</v>
      </c>
      <c r="C22" t="s">
        <v>26</v>
      </c>
      <c r="D22" s="3">
        <v>6</v>
      </c>
      <c r="F22" s="6">
        <v>-6</v>
      </c>
      <c r="G22" t="s">
        <v>22</v>
      </c>
      <c r="H22" t="s">
        <v>23</v>
      </c>
    </row>
    <row r="23" spans="1:8" x14ac:dyDescent="0.25">
      <c r="A23" s="2">
        <v>45681</v>
      </c>
      <c r="B23" t="s">
        <v>12</v>
      </c>
      <c r="C23" t="s">
        <v>27</v>
      </c>
      <c r="D23" s="3">
        <v>330</v>
      </c>
      <c r="F23" s="6">
        <v>-330</v>
      </c>
      <c r="G23" t="s">
        <v>22</v>
      </c>
      <c r="H23" t="s">
        <v>23</v>
      </c>
    </row>
    <row r="24" spans="1:8" x14ac:dyDescent="0.25">
      <c r="A24" s="2">
        <v>45686</v>
      </c>
      <c r="B24" t="s">
        <v>12</v>
      </c>
      <c r="C24" t="s">
        <v>30</v>
      </c>
      <c r="D24" s="3">
        <v>2353.79</v>
      </c>
      <c r="F24" s="6">
        <v>-2353.79</v>
      </c>
      <c r="G24" t="s">
        <v>22</v>
      </c>
      <c r="H24" t="s">
        <v>23</v>
      </c>
    </row>
    <row r="25" spans="1:8" x14ac:dyDescent="0.25">
      <c r="A25" s="2">
        <v>45699</v>
      </c>
      <c r="B25" t="s">
        <v>12</v>
      </c>
      <c r="C25" t="s">
        <v>35</v>
      </c>
      <c r="D25" s="3">
        <v>2816.3</v>
      </c>
      <c r="F25" s="6">
        <v>-2816.3</v>
      </c>
      <c r="G25" t="s">
        <v>22</v>
      </c>
      <c r="H25" t="s">
        <v>23</v>
      </c>
    </row>
    <row r="26" spans="1:8" x14ac:dyDescent="0.25">
      <c r="A26" s="2">
        <v>45709</v>
      </c>
      <c r="B26" t="s">
        <v>12</v>
      </c>
      <c r="C26" t="s">
        <v>36</v>
      </c>
      <c r="D26" s="3">
        <v>2600</v>
      </c>
      <c r="F26" s="6">
        <v>-2600</v>
      </c>
      <c r="G26" t="s">
        <v>22</v>
      </c>
      <c r="H26" t="s">
        <v>23</v>
      </c>
    </row>
    <row r="27" spans="1:8" x14ac:dyDescent="0.25">
      <c r="A27" s="2">
        <v>45726</v>
      </c>
      <c r="B27" t="s">
        <v>12</v>
      </c>
      <c r="C27" t="s">
        <v>40</v>
      </c>
      <c r="D27" s="3">
        <v>2549</v>
      </c>
      <c r="F27" s="6">
        <v>-2549</v>
      </c>
      <c r="G27" t="s">
        <v>22</v>
      </c>
      <c r="H27" t="s">
        <v>23</v>
      </c>
    </row>
    <row r="28" spans="1:8" x14ac:dyDescent="0.25">
      <c r="A28" s="2">
        <v>45737</v>
      </c>
      <c r="B28" t="s">
        <v>12</v>
      </c>
      <c r="C28" t="s">
        <v>40</v>
      </c>
      <c r="D28" s="3">
        <v>4900.5</v>
      </c>
      <c r="F28" s="6">
        <v>-4900.5</v>
      </c>
      <c r="G28" t="s">
        <v>22</v>
      </c>
      <c r="H28" t="s">
        <v>23</v>
      </c>
    </row>
    <row r="29" spans="1:8" x14ac:dyDescent="0.25">
      <c r="A29" s="2">
        <v>45741</v>
      </c>
      <c r="B29" t="s">
        <v>12</v>
      </c>
      <c r="C29" t="s">
        <v>40</v>
      </c>
      <c r="D29" s="3">
        <v>150</v>
      </c>
      <c r="F29" s="6">
        <v>-150</v>
      </c>
      <c r="G29" t="s">
        <v>22</v>
      </c>
      <c r="H29" t="s">
        <v>23</v>
      </c>
    </row>
    <row r="30" spans="1:8" x14ac:dyDescent="0.25">
      <c r="A30" s="2">
        <v>45748</v>
      </c>
      <c r="B30" t="s">
        <v>12</v>
      </c>
      <c r="C30" t="s">
        <v>40</v>
      </c>
      <c r="D30" s="3">
        <v>211</v>
      </c>
      <c r="F30" s="6">
        <v>-211</v>
      </c>
      <c r="G30" t="s">
        <v>22</v>
      </c>
      <c r="H30" t="s">
        <v>23</v>
      </c>
    </row>
    <row r="31" spans="1:8" x14ac:dyDescent="0.25">
      <c r="A31" s="2">
        <v>45768</v>
      </c>
      <c r="B31" t="s">
        <v>12</v>
      </c>
      <c r="C31" t="s">
        <v>40</v>
      </c>
      <c r="D31" s="3">
        <v>4696</v>
      </c>
      <c r="F31" s="6">
        <v>-4696</v>
      </c>
      <c r="G31" t="s">
        <v>22</v>
      </c>
      <c r="H31" t="s">
        <v>23</v>
      </c>
    </row>
    <row r="32" spans="1:8" x14ac:dyDescent="0.25">
      <c r="A32" s="2">
        <v>45777</v>
      </c>
      <c r="B32" t="s">
        <v>12</v>
      </c>
      <c r="C32" t="s">
        <v>40</v>
      </c>
      <c r="D32" s="3">
        <v>167</v>
      </c>
      <c r="F32" s="6">
        <v>-167</v>
      </c>
      <c r="G32" t="s">
        <v>22</v>
      </c>
      <c r="H32" t="s">
        <v>23</v>
      </c>
    </row>
    <row r="33" spans="1:8" x14ac:dyDescent="0.25">
      <c r="A33" s="2">
        <v>45783</v>
      </c>
      <c r="B33" t="s">
        <v>12</v>
      </c>
      <c r="C33" t="s">
        <v>40</v>
      </c>
      <c r="D33" s="3">
        <v>15.01</v>
      </c>
      <c r="F33" s="6">
        <v>-15.01</v>
      </c>
      <c r="G33" t="s">
        <v>22</v>
      </c>
      <c r="H33" t="s">
        <v>23</v>
      </c>
    </row>
    <row r="34" spans="1:8" x14ac:dyDescent="0.25">
      <c r="A34" s="2">
        <v>45783</v>
      </c>
      <c r="B34" t="s">
        <v>12</v>
      </c>
      <c r="C34" t="s">
        <v>40</v>
      </c>
      <c r="D34" s="3">
        <v>135</v>
      </c>
      <c r="F34" s="6">
        <v>-135</v>
      </c>
      <c r="G34" t="s">
        <v>22</v>
      </c>
      <c r="H34" t="s">
        <v>23</v>
      </c>
    </row>
    <row r="35" spans="1:8" x14ac:dyDescent="0.25">
      <c r="A35" s="2">
        <v>45800</v>
      </c>
      <c r="B35" t="s">
        <v>12</v>
      </c>
      <c r="C35" t="s">
        <v>45</v>
      </c>
      <c r="D35" s="3">
        <v>4790.03</v>
      </c>
      <c r="F35" s="6">
        <v>-4790.03</v>
      </c>
      <c r="G35" t="s">
        <v>22</v>
      </c>
      <c r="H35" t="s">
        <v>23</v>
      </c>
    </row>
    <row r="36" spans="1:8" x14ac:dyDescent="0.25">
      <c r="A36" s="2">
        <v>45825</v>
      </c>
      <c r="B36" t="s">
        <v>12</v>
      </c>
      <c r="C36" t="s">
        <v>40</v>
      </c>
      <c r="D36" s="3">
        <v>2590.39</v>
      </c>
      <c r="F36" s="6">
        <v>-2590.39</v>
      </c>
      <c r="G36" t="s">
        <v>22</v>
      </c>
      <c r="H36" t="s">
        <v>23</v>
      </c>
    </row>
    <row r="37" spans="1:8" x14ac:dyDescent="0.25">
      <c r="A37" s="2">
        <v>45831</v>
      </c>
      <c r="B37" t="s">
        <v>12</v>
      </c>
      <c r="C37" t="s">
        <v>40</v>
      </c>
      <c r="D37" s="3">
        <v>2260</v>
      </c>
      <c r="F37" s="6">
        <v>-2260</v>
      </c>
      <c r="G37" t="s">
        <v>22</v>
      </c>
      <c r="H37" t="s">
        <v>23</v>
      </c>
    </row>
    <row r="38" spans="1:8" x14ac:dyDescent="0.25">
      <c r="A38" s="2">
        <v>45856</v>
      </c>
      <c r="B38" t="s">
        <v>12</v>
      </c>
      <c r="C38" t="s">
        <v>47</v>
      </c>
      <c r="D38" s="3">
        <v>4980</v>
      </c>
      <c r="F38" s="6">
        <v>-4980</v>
      </c>
      <c r="G38" t="s">
        <v>22</v>
      </c>
      <c r="H38" t="s">
        <v>23</v>
      </c>
    </row>
    <row r="39" spans="1:8" x14ac:dyDescent="0.25">
      <c r="A39" s="2">
        <v>45869</v>
      </c>
      <c r="B39" t="s">
        <v>12</v>
      </c>
      <c r="C39" t="s">
        <v>40</v>
      </c>
      <c r="D39" s="3">
        <v>190.92</v>
      </c>
      <c r="F39" s="6">
        <v>-190.92</v>
      </c>
      <c r="G39" t="s">
        <v>22</v>
      </c>
      <c r="H39" t="s">
        <v>23</v>
      </c>
    </row>
    <row r="40" spans="1:8" x14ac:dyDescent="0.25">
      <c r="A40" s="2">
        <v>45883</v>
      </c>
      <c r="B40" t="s">
        <v>12</v>
      </c>
      <c r="C40" t="s">
        <v>40</v>
      </c>
      <c r="D40" s="3">
        <v>57</v>
      </c>
      <c r="F40" s="6">
        <v>-57</v>
      </c>
      <c r="G40" t="s">
        <v>22</v>
      </c>
      <c r="H40" t="s">
        <v>23</v>
      </c>
    </row>
    <row r="41" spans="1:8" x14ac:dyDescent="0.25">
      <c r="A41" s="2">
        <v>45884</v>
      </c>
      <c r="B41" t="s">
        <v>12</v>
      </c>
      <c r="C41" t="s">
        <v>40</v>
      </c>
      <c r="D41" s="3">
        <v>2260</v>
      </c>
      <c r="F41" s="6">
        <v>-2260</v>
      </c>
      <c r="G41" t="s">
        <v>22</v>
      </c>
      <c r="H41" t="s">
        <v>23</v>
      </c>
    </row>
    <row r="42" spans="1:8" x14ac:dyDescent="0.25">
      <c r="A42" s="2">
        <v>45891</v>
      </c>
      <c r="B42" t="s">
        <v>12</v>
      </c>
      <c r="C42" t="s">
        <v>40</v>
      </c>
      <c r="D42" s="3">
        <v>2260</v>
      </c>
      <c r="F42" s="6">
        <v>-2260</v>
      </c>
      <c r="G42" t="s">
        <v>22</v>
      </c>
      <c r="H42" t="s">
        <v>23</v>
      </c>
    </row>
    <row r="43" spans="1:8" x14ac:dyDescent="0.25">
      <c r="A43" s="2">
        <v>45902</v>
      </c>
      <c r="B43" t="s">
        <v>12</v>
      </c>
      <c r="C43" t="s">
        <v>40</v>
      </c>
      <c r="D43" s="3">
        <v>2260</v>
      </c>
      <c r="F43" s="6">
        <v>-2260</v>
      </c>
      <c r="G43" t="s">
        <v>22</v>
      </c>
      <c r="H43" t="s">
        <v>23</v>
      </c>
    </row>
    <row r="44" spans="1:8" x14ac:dyDescent="0.25">
      <c r="A44" s="2">
        <v>45936</v>
      </c>
      <c r="B44" t="s">
        <v>12</v>
      </c>
      <c r="C44" t="s">
        <v>40</v>
      </c>
      <c r="D44" s="3">
        <v>4520</v>
      </c>
      <c r="F44" s="6">
        <v>-4520</v>
      </c>
      <c r="G44" t="s">
        <v>22</v>
      </c>
      <c r="H44" t="s">
        <v>23</v>
      </c>
    </row>
    <row r="45" spans="1:8" x14ac:dyDescent="0.25">
      <c r="A45" s="2">
        <v>45952</v>
      </c>
      <c r="B45" t="s">
        <v>12</v>
      </c>
      <c r="C45" t="s">
        <v>40</v>
      </c>
      <c r="D45" s="3">
        <v>2260</v>
      </c>
      <c r="F45" s="6">
        <v>-2260</v>
      </c>
      <c r="G45" t="s">
        <v>22</v>
      </c>
      <c r="H45" t="s">
        <v>23</v>
      </c>
    </row>
    <row r="46" spans="1:8" x14ac:dyDescent="0.25">
      <c r="A46" s="2">
        <v>45971</v>
      </c>
      <c r="B46" t="s">
        <v>12</v>
      </c>
      <c r="C46" t="s">
        <v>40</v>
      </c>
      <c r="D46" s="3">
        <v>2260</v>
      </c>
      <c r="F46" s="6">
        <v>-2260</v>
      </c>
      <c r="G46" t="s">
        <v>22</v>
      </c>
      <c r="H46" t="s">
        <v>23</v>
      </c>
    </row>
    <row r="47" spans="1:8" x14ac:dyDescent="0.25">
      <c r="A47" s="2">
        <v>45978</v>
      </c>
      <c r="B47" t="s">
        <v>12</v>
      </c>
      <c r="C47" t="s">
        <v>40</v>
      </c>
      <c r="D47" s="3">
        <v>157</v>
      </c>
      <c r="F47" s="6">
        <v>-157</v>
      </c>
      <c r="G47" t="s">
        <v>22</v>
      </c>
      <c r="H47" t="s">
        <v>23</v>
      </c>
    </row>
    <row r="48" spans="1:8" x14ac:dyDescent="0.25">
      <c r="A48" s="2">
        <v>45996</v>
      </c>
      <c r="B48" t="s">
        <v>12</v>
      </c>
      <c r="C48" t="s">
        <v>40</v>
      </c>
      <c r="D48" s="3">
        <v>4611</v>
      </c>
      <c r="F48" s="6">
        <v>-4611</v>
      </c>
      <c r="G48" t="s">
        <v>22</v>
      </c>
      <c r="H48" t="s">
        <v>23</v>
      </c>
    </row>
    <row r="49" spans="1:8" x14ac:dyDescent="0.25">
      <c r="A49" s="2">
        <v>45965</v>
      </c>
      <c r="B49" t="s">
        <v>52</v>
      </c>
      <c r="C49" t="s">
        <v>57</v>
      </c>
      <c r="D49" s="3">
        <v>5</v>
      </c>
      <c r="F49" s="3">
        <v>-5</v>
      </c>
      <c r="G49" t="s">
        <v>58</v>
      </c>
      <c r="H49" t="s">
        <v>59</v>
      </c>
    </row>
    <row r="50" spans="1:8" x14ac:dyDescent="0.25">
      <c r="A50" s="2">
        <v>45968</v>
      </c>
      <c r="B50" t="s">
        <v>52</v>
      </c>
      <c r="C50" t="s">
        <v>57</v>
      </c>
      <c r="D50" s="3">
        <v>2255</v>
      </c>
      <c r="F50" s="3">
        <v>-2255</v>
      </c>
      <c r="G50" t="s">
        <v>58</v>
      </c>
      <c r="H50" t="s">
        <v>59</v>
      </c>
    </row>
    <row r="51" spans="1:8" x14ac:dyDescent="0.25">
      <c r="A51" s="2">
        <v>45992</v>
      </c>
      <c r="B51" t="s">
        <v>52</v>
      </c>
      <c r="C51" t="s">
        <v>57</v>
      </c>
      <c r="D51" s="3">
        <v>4610.2</v>
      </c>
      <c r="F51" s="3">
        <v>-4610.2</v>
      </c>
      <c r="G51" t="s">
        <v>58</v>
      </c>
      <c r="H51" t="s">
        <v>59</v>
      </c>
    </row>
    <row r="52" spans="1:8" x14ac:dyDescent="0.25">
      <c r="A52" s="2">
        <v>46022</v>
      </c>
      <c r="B52" t="s">
        <v>52</v>
      </c>
      <c r="C52" t="s">
        <v>57</v>
      </c>
      <c r="D52" s="3">
        <v>4564</v>
      </c>
      <c r="F52" s="3">
        <v>-4564</v>
      </c>
      <c r="G52" t="s">
        <v>58</v>
      </c>
      <c r="H52" t="s">
        <v>59</v>
      </c>
    </row>
    <row r="53" spans="1:8" x14ac:dyDescent="0.25">
      <c r="A53" s="2">
        <v>45664</v>
      </c>
      <c r="B53" t="s">
        <v>8</v>
      </c>
      <c r="C53" t="s">
        <v>16</v>
      </c>
      <c r="E53" s="3">
        <v>61.12</v>
      </c>
      <c r="F53" s="5">
        <v>61.12</v>
      </c>
      <c r="G53" t="s">
        <v>17</v>
      </c>
      <c r="H53" t="s">
        <v>18</v>
      </c>
    </row>
    <row r="54" spans="1:8" x14ac:dyDescent="0.25">
      <c r="A54" s="2">
        <v>45671</v>
      </c>
      <c r="B54" t="s">
        <v>12</v>
      </c>
      <c r="C54" t="s">
        <v>25</v>
      </c>
      <c r="E54" s="3">
        <v>183.89</v>
      </c>
      <c r="F54" s="5">
        <v>183.89</v>
      </c>
      <c r="G54" t="s">
        <v>17</v>
      </c>
      <c r="H54" t="s">
        <v>18</v>
      </c>
    </row>
    <row r="55" spans="1:8" x14ac:dyDescent="0.25">
      <c r="A55" s="2">
        <v>45678</v>
      </c>
      <c r="B55" t="s">
        <v>12</v>
      </c>
      <c r="C55" t="s">
        <v>25</v>
      </c>
      <c r="E55" s="3">
        <v>151.26</v>
      </c>
      <c r="F55" s="5">
        <v>151.26</v>
      </c>
      <c r="G55" t="s">
        <v>17</v>
      </c>
      <c r="H55" t="s">
        <v>18</v>
      </c>
    </row>
    <row r="56" spans="1:8" x14ac:dyDescent="0.25">
      <c r="A56" s="2">
        <v>45685</v>
      </c>
      <c r="B56" t="s">
        <v>12</v>
      </c>
      <c r="C56" t="s">
        <v>25</v>
      </c>
      <c r="E56" s="3">
        <v>193.64</v>
      </c>
      <c r="F56" s="5">
        <v>193.64</v>
      </c>
      <c r="G56" t="s">
        <v>17</v>
      </c>
      <c r="H56" t="s">
        <v>18</v>
      </c>
    </row>
    <row r="57" spans="1:8" x14ac:dyDescent="0.25">
      <c r="A57" s="2">
        <v>45692</v>
      </c>
      <c r="B57" t="s">
        <v>12</v>
      </c>
      <c r="C57" t="s">
        <v>25</v>
      </c>
      <c r="E57" s="3">
        <v>314.87</v>
      </c>
      <c r="F57" s="5">
        <v>314.87</v>
      </c>
      <c r="G57" t="s">
        <v>17</v>
      </c>
      <c r="H57" t="s">
        <v>18</v>
      </c>
    </row>
    <row r="58" spans="1:8" x14ac:dyDescent="0.25">
      <c r="A58" s="2">
        <v>45699</v>
      </c>
      <c r="B58" t="s">
        <v>12</v>
      </c>
      <c r="C58" t="s">
        <v>25</v>
      </c>
      <c r="E58" s="3">
        <v>161.43</v>
      </c>
      <c r="F58" s="5">
        <v>161.43</v>
      </c>
      <c r="G58" t="s">
        <v>17</v>
      </c>
      <c r="H58" t="s">
        <v>18</v>
      </c>
    </row>
    <row r="59" spans="1:8" x14ac:dyDescent="0.25">
      <c r="A59" s="2">
        <v>45706</v>
      </c>
      <c r="B59" t="s">
        <v>12</v>
      </c>
      <c r="C59" t="s">
        <v>25</v>
      </c>
      <c r="E59" s="3">
        <v>322.02</v>
      </c>
      <c r="F59" s="5">
        <v>322.02</v>
      </c>
      <c r="G59" t="s">
        <v>17</v>
      </c>
      <c r="H59" t="s">
        <v>18</v>
      </c>
    </row>
    <row r="60" spans="1:8" x14ac:dyDescent="0.25">
      <c r="A60" s="2">
        <v>45713</v>
      </c>
      <c r="B60" t="s">
        <v>12</v>
      </c>
      <c r="C60" t="s">
        <v>25</v>
      </c>
      <c r="E60" s="3">
        <v>126.7</v>
      </c>
      <c r="F60" s="5">
        <v>126.7</v>
      </c>
      <c r="G60" t="s">
        <v>17</v>
      </c>
      <c r="H60" t="s">
        <v>18</v>
      </c>
    </row>
    <row r="61" spans="1:8" x14ac:dyDescent="0.25">
      <c r="A61" s="2">
        <v>45720</v>
      </c>
      <c r="B61" t="s">
        <v>12</v>
      </c>
      <c r="C61" t="s">
        <v>25</v>
      </c>
      <c r="E61" s="3">
        <v>161.01</v>
      </c>
      <c r="F61" s="5">
        <v>161.01</v>
      </c>
      <c r="G61" t="s">
        <v>17</v>
      </c>
      <c r="H61" t="s">
        <v>18</v>
      </c>
    </row>
    <row r="62" spans="1:8" x14ac:dyDescent="0.25">
      <c r="A62" s="2">
        <v>45727</v>
      </c>
      <c r="B62" t="s">
        <v>12</v>
      </c>
      <c r="C62" t="s">
        <v>25</v>
      </c>
      <c r="E62" s="3">
        <v>167.56</v>
      </c>
      <c r="F62" s="5">
        <v>167.56</v>
      </c>
      <c r="G62" t="s">
        <v>17</v>
      </c>
      <c r="H62" t="s">
        <v>18</v>
      </c>
    </row>
    <row r="63" spans="1:8" x14ac:dyDescent="0.25">
      <c r="A63" s="2">
        <v>45734</v>
      </c>
      <c r="B63" t="s">
        <v>12</v>
      </c>
      <c r="C63" t="s">
        <v>25</v>
      </c>
      <c r="E63" s="3">
        <v>248.21</v>
      </c>
      <c r="F63" s="5">
        <v>248.21</v>
      </c>
      <c r="G63" t="s">
        <v>17</v>
      </c>
      <c r="H63" t="s">
        <v>18</v>
      </c>
    </row>
    <row r="64" spans="1:8" x14ac:dyDescent="0.25">
      <c r="A64" s="2">
        <v>45741</v>
      </c>
      <c r="B64" t="s">
        <v>12</v>
      </c>
      <c r="C64" t="s">
        <v>25</v>
      </c>
      <c r="E64" s="3">
        <v>120.66</v>
      </c>
      <c r="F64" s="5">
        <v>120.66</v>
      </c>
      <c r="G64" t="s">
        <v>17</v>
      </c>
      <c r="H64" t="s">
        <v>18</v>
      </c>
    </row>
    <row r="65" spans="1:8" x14ac:dyDescent="0.25">
      <c r="A65" s="2">
        <v>45748</v>
      </c>
      <c r="B65" t="s">
        <v>12</v>
      </c>
      <c r="C65" t="s">
        <v>25</v>
      </c>
      <c r="E65" s="3">
        <v>210.77</v>
      </c>
      <c r="F65" s="5">
        <v>210.77</v>
      </c>
      <c r="G65" t="s">
        <v>17</v>
      </c>
      <c r="H65" t="s">
        <v>18</v>
      </c>
    </row>
    <row r="66" spans="1:8" x14ac:dyDescent="0.25">
      <c r="A66" s="2">
        <v>45755</v>
      </c>
      <c r="B66" t="s">
        <v>12</v>
      </c>
      <c r="C66" t="s">
        <v>25</v>
      </c>
      <c r="E66" s="3">
        <v>130.01</v>
      </c>
      <c r="F66" s="5">
        <v>130.01</v>
      </c>
      <c r="G66" t="s">
        <v>17</v>
      </c>
      <c r="H66" t="s">
        <v>18</v>
      </c>
    </row>
    <row r="67" spans="1:8" x14ac:dyDescent="0.25">
      <c r="A67" s="2">
        <v>45762</v>
      </c>
      <c r="B67" t="s">
        <v>12</v>
      </c>
      <c r="C67" t="s">
        <v>25</v>
      </c>
      <c r="E67" s="3">
        <v>47.27</v>
      </c>
      <c r="F67" s="5">
        <v>47.27</v>
      </c>
      <c r="G67" t="s">
        <v>17</v>
      </c>
      <c r="H67" t="s">
        <v>18</v>
      </c>
    </row>
    <row r="68" spans="1:8" x14ac:dyDescent="0.25">
      <c r="A68" s="2">
        <v>45769</v>
      </c>
      <c r="B68" t="s">
        <v>12</v>
      </c>
      <c r="C68" t="s">
        <v>25</v>
      </c>
      <c r="E68" s="3">
        <v>133.71</v>
      </c>
      <c r="F68" s="5">
        <v>133.71</v>
      </c>
      <c r="G68" t="s">
        <v>17</v>
      </c>
      <c r="H68" t="s">
        <v>18</v>
      </c>
    </row>
    <row r="69" spans="1:8" x14ac:dyDescent="0.25">
      <c r="A69" s="2">
        <v>45776</v>
      </c>
      <c r="B69" t="s">
        <v>12</v>
      </c>
      <c r="C69" t="s">
        <v>25</v>
      </c>
      <c r="E69" s="3">
        <v>81.099999999999994</v>
      </c>
      <c r="F69" s="5">
        <v>81.099999999999994</v>
      </c>
      <c r="G69" t="s">
        <v>17</v>
      </c>
      <c r="H69" t="s">
        <v>18</v>
      </c>
    </row>
    <row r="70" spans="1:8" x14ac:dyDescent="0.25">
      <c r="A70" s="2">
        <v>45783</v>
      </c>
      <c r="B70" t="s">
        <v>12</v>
      </c>
      <c r="C70" t="s">
        <v>25</v>
      </c>
      <c r="E70" s="3">
        <v>150.97</v>
      </c>
      <c r="F70" s="5">
        <v>150.97</v>
      </c>
      <c r="G70" t="s">
        <v>17</v>
      </c>
      <c r="H70" t="s">
        <v>18</v>
      </c>
    </row>
    <row r="71" spans="1:8" x14ac:dyDescent="0.25">
      <c r="A71" s="2">
        <v>45790</v>
      </c>
      <c r="B71" t="s">
        <v>12</v>
      </c>
      <c r="C71" t="s">
        <v>25</v>
      </c>
      <c r="E71" s="3">
        <v>146.72</v>
      </c>
      <c r="F71" s="5">
        <v>146.72</v>
      </c>
      <c r="G71" t="s">
        <v>17</v>
      </c>
      <c r="H71" t="s">
        <v>18</v>
      </c>
    </row>
    <row r="72" spans="1:8" x14ac:dyDescent="0.25">
      <c r="A72" s="2">
        <v>45797</v>
      </c>
      <c r="B72" t="s">
        <v>12</v>
      </c>
      <c r="C72" t="s">
        <v>25</v>
      </c>
      <c r="E72" s="3">
        <v>131.31</v>
      </c>
      <c r="F72" s="5">
        <v>131.31</v>
      </c>
      <c r="G72" t="s">
        <v>17</v>
      </c>
      <c r="H72" t="s">
        <v>18</v>
      </c>
    </row>
    <row r="73" spans="1:8" x14ac:dyDescent="0.25">
      <c r="A73" s="2">
        <v>45804</v>
      </c>
      <c r="B73" t="s">
        <v>12</v>
      </c>
      <c r="C73" t="s">
        <v>25</v>
      </c>
      <c r="E73" s="3">
        <v>31.15</v>
      </c>
      <c r="F73" s="5">
        <v>31.15</v>
      </c>
      <c r="G73" t="s">
        <v>17</v>
      </c>
      <c r="H73" t="s">
        <v>18</v>
      </c>
    </row>
    <row r="74" spans="1:8" x14ac:dyDescent="0.25">
      <c r="A74" s="2">
        <v>45811</v>
      </c>
      <c r="B74" t="s">
        <v>12</v>
      </c>
      <c r="C74" t="s">
        <v>25</v>
      </c>
      <c r="E74" s="3">
        <v>97.53</v>
      </c>
      <c r="F74" s="5">
        <v>97.53</v>
      </c>
      <c r="G74" t="s">
        <v>17</v>
      </c>
      <c r="H74" t="s">
        <v>18</v>
      </c>
    </row>
    <row r="75" spans="1:8" x14ac:dyDescent="0.25">
      <c r="A75" s="2">
        <v>45818</v>
      </c>
      <c r="B75" t="s">
        <v>12</v>
      </c>
      <c r="C75" t="s">
        <v>25</v>
      </c>
      <c r="E75" s="3">
        <v>89.65</v>
      </c>
      <c r="F75" s="5">
        <v>89.65</v>
      </c>
      <c r="G75" t="s">
        <v>17</v>
      </c>
      <c r="H75" t="s">
        <v>18</v>
      </c>
    </row>
    <row r="76" spans="1:8" x14ac:dyDescent="0.25">
      <c r="A76" s="2">
        <v>45825</v>
      </c>
      <c r="B76" t="s">
        <v>12</v>
      </c>
      <c r="C76" t="s">
        <v>25</v>
      </c>
      <c r="E76" s="3">
        <v>138.21</v>
      </c>
      <c r="F76" s="5">
        <v>138.21</v>
      </c>
      <c r="G76" t="s">
        <v>17</v>
      </c>
      <c r="H76" t="s">
        <v>18</v>
      </c>
    </row>
    <row r="77" spans="1:8" x14ac:dyDescent="0.25">
      <c r="A77" s="2">
        <v>45832</v>
      </c>
      <c r="B77" t="s">
        <v>12</v>
      </c>
      <c r="C77" t="s">
        <v>25</v>
      </c>
      <c r="E77" s="3">
        <v>84.41</v>
      </c>
      <c r="F77" s="5">
        <v>84.41</v>
      </c>
      <c r="G77" t="s">
        <v>17</v>
      </c>
      <c r="H77" t="s">
        <v>18</v>
      </c>
    </row>
    <row r="78" spans="1:8" x14ac:dyDescent="0.25">
      <c r="A78" s="2">
        <v>45840</v>
      </c>
      <c r="B78" t="s">
        <v>12</v>
      </c>
      <c r="C78" t="s">
        <v>25</v>
      </c>
      <c r="E78" s="3">
        <v>123.59</v>
      </c>
      <c r="F78" s="5">
        <v>123.59</v>
      </c>
      <c r="G78" t="s">
        <v>17</v>
      </c>
      <c r="H78" t="s">
        <v>18</v>
      </c>
    </row>
    <row r="79" spans="1:8" x14ac:dyDescent="0.25">
      <c r="A79" s="2">
        <v>45846</v>
      </c>
      <c r="B79" t="s">
        <v>12</v>
      </c>
      <c r="C79" t="s">
        <v>25</v>
      </c>
      <c r="E79" s="3">
        <v>134.79</v>
      </c>
      <c r="F79" s="5">
        <v>134.79</v>
      </c>
      <c r="G79" t="s">
        <v>17</v>
      </c>
      <c r="H79" t="s">
        <v>18</v>
      </c>
    </row>
    <row r="80" spans="1:8" x14ac:dyDescent="0.25">
      <c r="A80" s="2">
        <v>45853</v>
      </c>
      <c r="B80" t="s">
        <v>12</v>
      </c>
      <c r="C80" t="s">
        <v>25</v>
      </c>
      <c r="E80" s="3">
        <v>113.97</v>
      </c>
      <c r="F80" s="5">
        <v>113.97</v>
      </c>
      <c r="G80" t="s">
        <v>17</v>
      </c>
      <c r="H80" t="s">
        <v>18</v>
      </c>
    </row>
    <row r="81" spans="1:8" x14ac:dyDescent="0.25">
      <c r="A81" s="2">
        <v>45860</v>
      </c>
      <c r="B81" t="s">
        <v>12</v>
      </c>
      <c r="C81" t="s">
        <v>25</v>
      </c>
      <c r="E81" s="3">
        <v>106.27</v>
      </c>
      <c r="F81" s="5">
        <v>106.27</v>
      </c>
      <c r="G81" t="s">
        <v>17</v>
      </c>
      <c r="H81" t="s">
        <v>18</v>
      </c>
    </row>
    <row r="82" spans="1:8" x14ac:dyDescent="0.25">
      <c r="A82" s="2">
        <v>45867</v>
      </c>
      <c r="B82" t="s">
        <v>12</v>
      </c>
      <c r="C82" t="s">
        <v>25</v>
      </c>
      <c r="E82" s="3">
        <v>89.89</v>
      </c>
      <c r="F82" s="5">
        <v>89.89</v>
      </c>
      <c r="G82" t="s">
        <v>17</v>
      </c>
      <c r="H82" t="s">
        <v>18</v>
      </c>
    </row>
    <row r="83" spans="1:8" x14ac:dyDescent="0.25">
      <c r="A83" s="2">
        <v>45874</v>
      </c>
      <c r="B83" t="s">
        <v>12</v>
      </c>
      <c r="C83" t="s">
        <v>25</v>
      </c>
      <c r="E83" s="3">
        <v>50.26</v>
      </c>
      <c r="F83" s="5">
        <v>50.26</v>
      </c>
      <c r="G83" t="s">
        <v>17</v>
      </c>
      <c r="H83" t="s">
        <v>18</v>
      </c>
    </row>
    <row r="84" spans="1:8" x14ac:dyDescent="0.25">
      <c r="A84" s="2">
        <v>45975</v>
      </c>
      <c r="B84" t="s">
        <v>52</v>
      </c>
      <c r="C84" t="s">
        <v>54</v>
      </c>
      <c r="E84" s="3">
        <v>41.55</v>
      </c>
      <c r="F84" s="5">
        <v>41.55</v>
      </c>
      <c r="G84" t="s">
        <v>17</v>
      </c>
      <c r="H84" t="s">
        <v>63</v>
      </c>
    </row>
    <row r="85" spans="1:8" x14ac:dyDescent="0.25">
      <c r="A85" s="2">
        <v>45990</v>
      </c>
      <c r="B85" t="s">
        <v>52</v>
      </c>
      <c r="C85" t="s">
        <v>54</v>
      </c>
      <c r="E85" s="3">
        <v>49.15</v>
      </c>
      <c r="F85" s="5">
        <v>49.15</v>
      </c>
      <c r="G85" t="s">
        <v>17</v>
      </c>
      <c r="H85" t="s">
        <v>63</v>
      </c>
    </row>
    <row r="86" spans="1:8" x14ac:dyDescent="0.25">
      <c r="A86" s="2">
        <v>46015</v>
      </c>
      <c r="B86" t="s">
        <v>52</v>
      </c>
      <c r="C86" t="s">
        <v>54</v>
      </c>
      <c r="E86" s="3">
        <v>40.950000000000003</v>
      </c>
      <c r="F86" s="5">
        <v>40.950000000000003</v>
      </c>
      <c r="G86" t="s">
        <v>17</v>
      </c>
      <c r="H86" t="s">
        <v>63</v>
      </c>
    </row>
  </sheetData>
  <autoFilter ref="A1:H86" xr:uid="{89ED4396-4B53-4AA3-9DB6-18C844965453}">
    <sortState xmlns:xlrd2="http://schemas.microsoft.com/office/spreadsheetml/2017/richdata2" ref="A2:H86">
      <sortCondition ref="H1:H8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abSelected="1" workbookViewId="0">
      <selection activeCell="M31" sqref="M31"/>
    </sheetView>
  </sheetViews>
  <sheetFormatPr defaultRowHeight="15" x14ac:dyDescent="0.25"/>
  <cols>
    <col min="1" max="1" width="20.7109375" customWidth="1"/>
    <col min="2" max="2" width="12.7109375" customWidth="1"/>
    <col min="3" max="3" width="15.7109375" customWidth="1"/>
    <col min="4" max="4" width="14.42578125" style="7" bestFit="1" customWidth="1"/>
    <col min="7" max="7" width="10.5703125" bestFit="1" customWidth="1"/>
    <col min="9" max="9" width="10.5703125" bestFit="1" customWidth="1"/>
  </cols>
  <sheetData>
    <row r="1" spans="1:9" x14ac:dyDescent="0.25">
      <c r="A1" s="1" t="s">
        <v>6</v>
      </c>
      <c r="B1" s="1" t="s">
        <v>65</v>
      </c>
      <c r="C1" s="1" t="s">
        <v>66</v>
      </c>
      <c r="E1" s="13" t="s">
        <v>83</v>
      </c>
      <c r="F1" s="11" t="s">
        <v>78</v>
      </c>
      <c r="G1" s="11" t="s">
        <v>79</v>
      </c>
      <c r="H1" s="11" t="s">
        <v>82</v>
      </c>
    </row>
    <row r="2" spans="1:9" x14ac:dyDescent="0.25">
      <c r="A2" t="s">
        <v>38</v>
      </c>
      <c r="B2">
        <v>1</v>
      </c>
      <c r="C2" s="3">
        <v>936.05</v>
      </c>
      <c r="D2" s="8">
        <f>SUMIF('All(excluding ignore)'!$G:$G, A2, 'All(excluding ignore)'!$F:$F)</f>
        <v>936.05</v>
      </c>
    </row>
    <row r="3" spans="1:9" x14ac:dyDescent="0.25">
      <c r="A3" t="s">
        <v>17</v>
      </c>
      <c r="B3">
        <v>52</v>
      </c>
      <c r="C3" s="3">
        <v>61675.600000000013</v>
      </c>
      <c r="D3" s="9">
        <f>SUMIF('All(excluding ignore)'!$G:$G, A3, 'All(excluding ignore)'!$F:$F)</f>
        <v>61675.6</v>
      </c>
      <c r="E3">
        <v>631.41999999999996</v>
      </c>
      <c r="F3">
        <f>BankEndingBalance!B4</f>
        <v>4566.05</v>
      </c>
      <c r="G3" s="12">
        <f>D3-F3+E3</f>
        <v>57740.969999999994</v>
      </c>
      <c r="H3">
        <f>-G13-G14</f>
        <v>-6666.05</v>
      </c>
      <c r="I3" s="12">
        <f>H3+G3</f>
        <v>51074.919999999991</v>
      </c>
    </row>
    <row r="4" spans="1:9" x14ac:dyDescent="0.25">
      <c r="A4" t="s">
        <v>58</v>
      </c>
      <c r="B4">
        <v>4</v>
      </c>
      <c r="C4" s="3">
        <v>-11434.2</v>
      </c>
      <c r="D4" s="8">
        <f>SUMIF('All(excluding ignore)'!$G:$G, A4, 'All(excluding ignore)'!$F:$F)</f>
        <v>-11434.2</v>
      </c>
    </row>
    <row r="5" spans="1:9" x14ac:dyDescent="0.25">
      <c r="A5" t="s">
        <v>22</v>
      </c>
      <c r="B5">
        <v>28</v>
      </c>
      <c r="C5" s="3">
        <v>-59385.94</v>
      </c>
      <c r="D5" s="8">
        <f>SUMIF('All(excluding ignore)'!$G:$G, A5, 'All(excluding ignore)'!$F:$F)</f>
        <v>-59385.939999999995</v>
      </c>
    </row>
    <row r="7" spans="1:9" x14ac:dyDescent="0.25">
      <c r="A7" t="s">
        <v>18</v>
      </c>
      <c r="D7" s="8">
        <f>SUMIF('All(excluding ignore)'!$H:$H, A7, 'All(excluding ignore)'!$F:$F)</f>
        <v>4303.95</v>
      </c>
    </row>
    <row r="8" spans="1:9" x14ac:dyDescent="0.25">
      <c r="A8" t="s">
        <v>76</v>
      </c>
      <c r="D8" s="7">
        <f>D3-D7</f>
        <v>57371.65</v>
      </c>
    </row>
    <row r="13" spans="1:9" x14ac:dyDescent="0.25">
      <c r="G13">
        <v>5730</v>
      </c>
      <c r="H13" t="s">
        <v>80</v>
      </c>
    </row>
    <row r="14" spans="1:9" x14ac:dyDescent="0.25">
      <c r="G14">
        <v>936.05</v>
      </c>
      <c r="H14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D2DB-18CB-4E86-9B21-1376651D3AC2}">
  <dimension ref="A1:B4"/>
  <sheetViews>
    <sheetView workbookViewId="0">
      <selection activeCell="B4" sqref="B4"/>
    </sheetView>
  </sheetViews>
  <sheetFormatPr defaultRowHeight="15" x14ac:dyDescent="0.25"/>
  <cols>
    <col min="2" max="2" width="10.7109375" bestFit="1" customWidth="1"/>
  </cols>
  <sheetData>
    <row r="1" spans="1:2" x14ac:dyDescent="0.25">
      <c r="B1" s="10">
        <v>46022</v>
      </c>
    </row>
    <row r="2" spans="1:2" x14ac:dyDescent="0.25">
      <c r="A2" t="s">
        <v>77</v>
      </c>
      <c r="B2">
        <v>1.95</v>
      </c>
    </row>
    <row r="3" spans="1:2" x14ac:dyDescent="0.25">
      <c r="A3" t="s">
        <v>12</v>
      </c>
      <c r="B3">
        <v>4564.1000000000004</v>
      </c>
    </row>
    <row r="4" spans="1:2" x14ac:dyDescent="0.25">
      <c r="B4">
        <f>SUM(B2:B3)</f>
        <v>4566.05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cols>
    <col min="1" max="1" width="40.7109375" customWidth="1"/>
    <col min="2" max="2" width="15.7109375" customWidth="1"/>
  </cols>
  <sheetData>
    <row r="1" spans="1:2" x14ac:dyDescent="0.25">
      <c r="A1" s="1" t="s">
        <v>67</v>
      </c>
    </row>
    <row r="2" spans="1:2" x14ac:dyDescent="0.25">
      <c r="A2" t="s">
        <v>68</v>
      </c>
      <c r="B2" s="3">
        <v>61675.6</v>
      </c>
    </row>
    <row r="4" spans="1:2" x14ac:dyDescent="0.25">
      <c r="A4" s="1" t="s">
        <v>69</v>
      </c>
    </row>
    <row r="5" spans="1:2" x14ac:dyDescent="0.25">
      <c r="A5" t="s">
        <v>70</v>
      </c>
      <c r="B5" s="3">
        <v>5730</v>
      </c>
    </row>
    <row r="6" spans="1:2" x14ac:dyDescent="0.25">
      <c r="A6" t="s">
        <v>71</v>
      </c>
      <c r="B6" s="3">
        <v>936.05</v>
      </c>
    </row>
    <row r="7" spans="1:2" x14ac:dyDescent="0.25">
      <c r="A7" t="s">
        <v>72</v>
      </c>
      <c r="B7" s="3">
        <v>-59385.94</v>
      </c>
    </row>
    <row r="8" spans="1:2" x14ac:dyDescent="0.25">
      <c r="A8" t="s">
        <v>73</v>
      </c>
      <c r="B8" s="3">
        <v>-58449.89</v>
      </c>
    </row>
    <row r="10" spans="1:2" x14ac:dyDescent="0.25">
      <c r="A10" t="s">
        <v>74</v>
      </c>
    </row>
    <row r="11" spans="1:2" x14ac:dyDescent="0.25">
      <c r="A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Transactions</vt:lpstr>
      <vt:lpstr>All(excluding ignore)</vt:lpstr>
      <vt:lpstr>Summary</vt:lpstr>
      <vt:lpstr>BankEndingBalance</vt:lpstr>
      <vt:lpstr>Key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 reny</cp:lastModifiedBy>
  <dcterms:created xsi:type="dcterms:W3CDTF">2026-06-29T18:26:43Z</dcterms:created>
  <dcterms:modified xsi:type="dcterms:W3CDTF">2026-06-29T19:26:28Z</dcterms:modified>
</cp:coreProperties>
</file>