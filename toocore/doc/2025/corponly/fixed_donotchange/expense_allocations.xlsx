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oocore\doc\2025\corponly\basedonfixed\"/>
    </mc:Choice>
  </mc:AlternateContent>
  <xr:revisionPtr revIDLastSave="0" documentId="13_ncr:1_{4CDFEAF1-0B28-4331-8455-1C6124503D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nse Allo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20" i="1" s="1"/>
  <c r="C22" i="1" s="1"/>
  <c r="C9" i="1"/>
</calcChain>
</file>

<file path=xl/sharedStrings.xml><?xml version="1.0" encoding="utf-8"?>
<sst xmlns="http://schemas.openxmlformats.org/spreadsheetml/2006/main" count="41" uniqueCount="26">
  <si>
    <t>Date</t>
  </si>
  <si>
    <t>Category</t>
  </si>
  <si>
    <t>Amount</t>
  </si>
  <si>
    <t>Documentation</t>
  </si>
  <si>
    <t>Vehicle Expense</t>
  </si>
  <si>
    <t>Paid by shareholder via credit card</t>
  </si>
  <si>
    <t>Depreciation (CCA)</t>
  </si>
  <si>
    <t>CCA Class 50 computers (no cash)</t>
  </si>
  <si>
    <t>Repairs and Maintenance</t>
  </si>
  <si>
    <t>Subcontractor Expense</t>
  </si>
  <si>
    <t>Office Expenses</t>
  </si>
  <si>
    <t>Advertising and Promotion</t>
  </si>
  <si>
    <t>Meals and Entertainment (50%)</t>
  </si>
  <si>
    <t>Professional Fees</t>
  </si>
  <si>
    <t>Insurance</t>
  </si>
  <si>
    <t>Property Taxes</t>
  </si>
  <si>
    <t>Utilities - Gas</t>
  </si>
  <si>
    <t>Training and Education</t>
  </si>
  <si>
    <t>Utilities - Electricity</t>
  </si>
  <si>
    <t>Legal Fees</t>
  </si>
  <si>
    <t>Utilities - Water</t>
  </si>
  <si>
    <t>Bank Charges</t>
  </si>
  <si>
    <t>Telephone and Internet</t>
  </si>
  <si>
    <t>Business Travel</t>
  </si>
  <si>
    <t>Client meetings, travel to DATAMOND office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</si>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</sst>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" fontId="0" fillId="0" borderId="0" xfId="0" applyNumberFormat="1"/>
    <xf numFmtId="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15" sqref="C15"/>
    </sheetView>
  </sheetViews>
  <sheetFormatPr defaultRowHeight="15" x14ac:dyDescent="0.25"/>
  <cols>
    <col min="1" max="1" width="12.7109375" customWidth="1"/>
    <col min="2" max="2" width="40.7109375" customWidth="1"/>
    <col min="3" max="3" width="15.7109375" customWidth="1"/>
    <col min="4" max="4" width="6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46022</v>
      </c>
      <c r="B2" t="s">
        <v>4</v>
      </c>
      <c r="C2" s="3">
        <v>6928.41</v>
      </c>
      <c r="D2" t="s">
        <v>5</v>
      </c>
    </row>
    <row r="3" spans="1:4" x14ac:dyDescent="0.25">
      <c r="A3" s="2">
        <v>46022</v>
      </c>
      <c r="B3" t="s">
        <v>6</v>
      </c>
      <c r="C3" s="3">
        <v>3560.28</v>
      </c>
      <c r="D3" t="s">
        <v>7</v>
      </c>
    </row>
    <row r="4" spans="1:4" x14ac:dyDescent="0.25">
      <c r="A4" s="2">
        <v>46022</v>
      </c>
      <c r="B4" t="s">
        <v>8</v>
      </c>
      <c r="C4" s="3">
        <v>3373.18</v>
      </c>
      <c r="D4" t="s">
        <v>5</v>
      </c>
    </row>
    <row r="5" spans="1:4" x14ac:dyDescent="0.25">
      <c r="A5" s="2">
        <v>46022</v>
      </c>
      <c r="B5" t="s">
        <v>9</v>
      </c>
      <c r="C5" s="3">
        <v>2680.01</v>
      </c>
      <c r="D5" t="s">
        <v>5</v>
      </c>
    </row>
    <row r="6" spans="1:4" x14ac:dyDescent="0.25">
      <c r="A6" s="2">
        <v>46022</v>
      </c>
      <c r="B6" t="s">
        <v>10</v>
      </c>
      <c r="C6" s="3">
        <v>2247.63</v>
      </c>
      <c r="D6" t="s">
        <v>5</v>
      </c>
    </row>
    <row r="7" spans="1:4" x14ac:dyDescent="0.25">
      <c r="A7" s="2">
        <v>46022</v>
      </c>
      <c r="B7" t="s">
        <v>11</v>
      </c>
      <c r="C7" s="3">
        <v>2156.4299999999998</v>
      </c>
      <c r="D7" t="s">
        <v>5</v>
      </c>
    </row>
    <row r="8" spans="1:4" x14ac:dyDescent="0.25">
      <c r="A8" s="2">
        <v>46022</v>
      </c>
      <c r="B8" t="s">
        <v>12</v>
      </c>
      <c r="C8" s="3">
        <v>1789.45</v>
      </c>
      <c r="D8" t="s">
        <v>5</v>
      </c>
    </row>
    <row r="9" spans="1:4" x14ac:dyDescent="0.25">
      <c r="A9" s="2">
        <v>46022</v>
      </c>
      <c r="B9" t="s">
        <v>13</v>
      </c>
      <c r="C9" s="3">
        <f>71.59+1234.56</f>
        <v>1306.1499999999999</v>
      </c>
      <c r="D9" t="s">
        <v>5</v>
      </c>
    </row>
    <row r="10" spans="1:4" x14ac:dyDescent="0.25">
      <c r="A10" s="2">
        <v>46022</v>
      </c>
      <c r="B10" t="s">
        <v>14</v>
      </c>
      <c r="C10" s="3">
        <v>1156.78</v>
      </c>
      <c r="D10" t="s">
        <v>5</v>
      </c>
    </row>
    <row r="11" spans="1:4" x14ac:dyDescent="0.25">
      <c r="A11" s="2">
        <v>46022</v>
      </c>
      <c r="B11" t="s">
        <v>15</v>
      </c>
      <c r="C11" s="3">
        <v>1089.23</v>
      </c>
      <c r="D11" t="s">
        <v>5</v>
      </c>
    </row>
    <row r="12" spans="1:4" x14ac:dyDescent="0.25">
      <c r="A12" s="2">
        <v>46022</v>
      </c>
      <c r="B12" t="s">
        <v>16</v>
      </c>
      <c r="C12" s="3">
        <v>696.17</v>
      </c>
      <c r="D12" t="s">
        <v>5</v>
      </c>
    </row>
    <row r="13" spans="1:4" x14ac:dyDescent="0.25">
      <c r="A13" s="2">
        <v>46022</v>
      </c>
      <c r="B13" t="s">
        <v>17</v>
      </c>
      <c r="C13" s="3">
        <v>763.33</v>
      </c>
      <c r="D13" t="s">
        <v>5</v>
      </c>
    </row>
    <row r="14" spans="1:4" x14ac:dyDescent="0.25">
      <c r="A14" s="2">
        <v>46022</v>
      </c>
      <c r="B14" t="s">
        <v>18</v>
      </c>
      <c r="C14" s="3">
        <f>27.07+723.34</f>
        <v>750.41000000000008</v>
      </c>
      <c r="D14" t="s">
        <v>5</v>
      </c>
    </row>
    <row r="15" spans="1:4" x14ac:dyDescent="0.25">
      <c r="A15" s="2">
        <v>46022</v>
      </c>
      <c r="B15" t="s">
        <v>19</v>
      </c>
      <c r="C15" s="3">
        <v>472.66</v>
      </c>
      <c r="D15" t="s">
        <v>5</v>
      </c>
    </row>
    <row r="16" spans="1:4" x14ac:dyDescent="0.25">
      <c r="A16" s="2">
        <v>46022</v>
      </c>
      <c r="B16" t="s">
        <v>20</v>
      </c>
      <c r="C16" s="3">
        <v>534.77</v>
      </c>
      <c r="D16" t="s">
        <v>5</v>
      </c>
    </row>
    <row r="17" spans="1:4" x14ac:dyDescent="0.25">
      <c r="A17" s="2">
        <v>46022</v>
      </c>
      <c r="B17" t="s">
        <v>21</v>
      </c>
      <c r="C17" s="3">
        <v>181.29</v>
      </c>
      <c r="D17" t="s">
        <v>5</v>
      </c>
    </row>
    <row r="18" spans="1:4" x14ac:dyDescent="0.25">
      <c r="A18" s="2">
        <v>46022</v>
      </c>
      <c r="B18" t="s">
        <v>22</v>
      </c>
      <c r="C18" s="3">
        <v>447.41</v>
      </c>
      <c r="D18" t="s">
        <v>5</v>
      </c>
    </row>
    <row r="19" spans="1:4" x14ac:dyDescent="0.25">
      <c r="A19" s="2">
        <v>46022</v>
      </c>
      <c r="B19" t="s">
        <v>23</v>
      </c>
      <c r="C19" s="3">
        <v>2967.65</v>
      </c>
      <c r="D19" t="s">
        <v>24</v>
      </c>
    </row>
    <row r="20" spans="1:4" x14ac:dyDescent="0.25">
      <c r="B20" s="1" t="s">
        <v>25</v>
      </c>
      <c r="C20" s="4">
        <f>SUM(C2:C19)</f>
        <v>33101.240000000005</v>
      </c>
    </row>
    <row r="21" spans="1:4" x14ac:dyDescent="0.25">
      <c r="C21">
        <v>33101.24</v>
      </c>
    </row>
    <row r="22" spans="1:4" x14ac:dyDescent="0.25">
      <c r="C22" s="3">
        <f>C21-C20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Allocations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 reny</cp:lastModifiedBy>
  <dcterms:created xsi:type="dcterms:W3CDTF">2026-06-29T20:42:36Z</dcterms:created>
  <dcterms:modified xsi:type="dcterms:W3CDTF">2026-06-29T20:47:01Z</dcterms:modified>
</cp:coreProperties>
</file>