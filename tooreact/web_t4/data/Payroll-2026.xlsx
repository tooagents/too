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fcw\Documents\Fencing\YJ Fencing\Accounting files\2026\"/>
    </mc:Choice>
  </mc:AlternateContent>
  <xr:revisionPtr revIDLastSave="0" documentId="13_ncr:1_{D2DB6BE8-2DF6-462E-B5FE-CE2FDEE8CB53}" xr6:coauthVersionLast="47" xr6:coauthVersionMax="47" xr10:uidLastSave="{00000000-0000-0000-0000-000000000000}"/>
  <bookViews>
    <workbookView xWindow="-110" yWindow="-110" windowWidth="19420" windowHeight="10420" activeTab="1" xr2:uid="{61FF051D-54CC-4550-A5F7-1F85D2FBB463}"/>
  </bookViews>
  <sheets>
    <sheet name="Jan" sheetId="1" r:id="rId1"/>
    <sheet name="Feb" sheetId="4" r:id="rId2"/>
    <sheet name="Sheet2" sheetId="2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4" l="1"/>
  <c r="B21" i="4"/>
  <c r="B11" i="4"/>
  <c r="B18" i="4"/>
  <c r="B12" i="4"/>
  <c r="B13" i="4" s="1"/>
  <c r="E13" i="4" s="1"/>
  <c r="J6" i="4"/>
  <c r="H6" i="4"/>
  <c r="G6" i="4"/>
  <c r="J5" i="4"/>
  <c r="H5" i="4"/>
  <c r="K5" i="4" s="1"/>
  <c r="G5" i="4"/>
  <c r="J4" i="4"/>
  <c r="H4" i="4"/>
  <c r="G4" i="4"/>
  <c r="B16" i="1"/>
  <c r="B12" i="1"/>
  <c r="A21" i="3"/>
  <c r="J17" i="2"/>
  <c r="E20" i="2"/>
  <c r="E18" i="2"/>
  <c r="J16" i="2"/>
  <c r="H16" i="2"/>
  <c r="K16" i="2" s="1"/>
  <c r="G16" i="2"/>
  <c r="K4" i="4" l="1"/>
  <c r="K6" i="4"/>
  <c r="J6" i="1"/>
  <c r="H6" i="1"/>
  <c r="G6" i="1"/>
  <c r="J5" i="1"/>
  <c r="H5" i="1"/>
  <c r="G5" i="1"/>
  <c r="J4" i="1"/>
  <c r="H4" i="1"/>
  <c r="K4" i="1" s="1"/>
  <c r="G4" i="1"/>
  <c r="C13" i="2"/>
  <c r="B13" i="2"/>
  <c r="B19" i="1"/>
  <c r="K5" i="1" l="1"/>
  <c r="K6" i="1"/>
</calcChain>
</file>

<file path=xl/sharedStrings.xml><?xml version="1.0" encoding="utf-8"?>
<sst xmlns="http://schemas.openxmlformats.org/spreadsheetml/2006/main" count="97" uniqueCount="40">
  <si>
    <t>16842291 Canada Inc.</t>
  </si>
  <si>
    <t>T4</t>
  </si>
  <si>
    <t>Name</t>
  </si>
  <si>
    <t>Gross Pay</t>
  </si>
  <si>
    <t>CPP</t>
  </si>
  <si>
    <t>CPP2</t>
  </si>
  <si>
    <t xml:space="preserve">EI </t>
  </si>
  <si>
    <t>Tax</t>
  </si>
  <si>
    <t>Net Pay</t>
  </si>
  <si>
    <t>Employer CPP</t>
  </si>
  <si>
    <t>Employer CPP2</t>
  </si>
  <si>
    <t>Employer EI</t>
  </si>
  <si>
    <t>Payroll Tax</t>
  </si>
  <si>
    <t>Yaojiang Huang</t>
  </si>
  <si>
    <t>Zacharia Bounachada</t>
  </si>
  <si>
    <t>T4A</t>
  </si>
  <si>
    <t>Private lesson</t>
  </si>
  <si>
    <t>Hours</t>
  </si>
  <si>
    <t>Days off</t>
  </si>
  <si>
    <t>days</t>
  </si>
  <si>
    <t>No pay leave</t>
  </si>
  <si>
    <t>Salary per day</t>
  </si>
  <si>
    <t>(=3000/25)</t>
  </si>
  <si>
    <t>Deduction</t>
  </si>
  <si>
    <t>(=4*120)</t>
  </si>
  <si>
    <t xml:space="preserve">Nin Yeung Chun </t>
  </si>
  <si>
    <t>Amount</t>
  </si>
  <si>
    <t>Total</t>
  </si>
  <si>
    <t>You paid for Him</t>
  </si>
  <si>
    <t>So you actually need to pay him:</t>
  </si>
  <si>
    <t>Group lesson</t>
  </si>
  <si>
    <t>Vacations in 2026</t>
  </si>
  <si>
    <t>total</t>
  </si>
  <si>
    <t>（16*4=64 hours)</t>
  </si>
  <si>
    <t>Remaining Vacation</t>
  </si>
  <si>
    <t>(Add back 1/23 2hours)</t>
  </si>
  <si>
    <t>1/24/2026 and 1/23/2026</t>
  </si>
  <si>
    <t>Additional Hours</t>
  </si>
  <si>
    <t>Extra Pay</t>
  </si>
  <si>
    <t>Basic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</si>
</sst>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17" fontId="0" fillId="0" borderId="0" xfId="0" applyNumberFormat="1"/>
    <xf numFmtId="0" fontId="0" fillId="2" borderId="1" xfId="0" applyFill="1" applyBorder="1" applyAlignment="1">
      <alignment horizontal="center"/>
    </xf>
    <xf numFmtId="43" fontId="0" fillId="2" borderId="1" xfId="1" applyFont="1" applyFill="1" applyBorder="1" applyAlignment="1">
      <alignment horizontal="center"/>
    </xf>
    <xf numFmtId="0" fontId="0" fillId="0" borderId="1" xfId="0" applyBorder="1"/>
    <xf numFmtId="43" fontId="0" fillId="0" borderId="1" xfId="1" applyFont="1" applyBorder="1" applyAlignment="1">
      <alignment horizontal="right"/>
    </xf>
    <xf numFmtId="0" fontId="0" fillId="0" borderId="1" xfId="0" applyBorder="1" applyAlignment="1">
      <alignment horizontal="right"/>
    </xf>
    <xf numFmtId="43" fontId="2" fillId="3" borderId="1" xfId="0" applyNumberFormat="1" applyFont="1" applyFill="1" applyBorder="1" applyAlignment="1">
      <alignment horizontal="right"/>
    </xf>
    <xf numFmtId="0" fontId="3" fillId="0" borderId="0" xfId="0" applyFont="1"/>
    <xf numFmtId="0" fontId="2" fillId="5" borderId="0" xfId="0" applyFont="1" applyFill="1"/>
    <xf numFmtId="2" fontId="0" fillId="0" borderId="1" xfId="0" applyNumberFormat="1" applyBorder="1" applyAlignment="1">
      <alignment horizontal="right"/>
    </xf>
    <xf numFmtId="43" fontId="0" fillId="0" borderId="0" xfId="1" applyFont="1"/>
    <xf numFmtId="43" fontId="0" fillId="0" borderId="0" xfId="0" applyNumberFormat="1"/>
    <xf numFmtId="0" fontId="0" fillId="4" borderId="0" xfId="0" applyFill="1"/>
    <xf numFmtId="43" fontId="0" fillId="4" borderId="0" xfId="0" applyNumberFormat="1" applyFill="1"/>
    <xf numFmtId="16" fontId="0" fillId="0" borderId="0" xfId="0" applyNumberFormat="1"/>
    <xf numFmtId="0" fontId="0" fillId="0" borderId="0" xfId="0" applyAlignment="1">
      <alignment horizontal="center"/>
    </xf>
    <xf numFmtId="0" fontId="2" fillId="6" borderId="0" xfId="0" applyFont="1" applyFill="1"/>
  </cellXfs>
  <cellStyles count="2">
    <cellStyle name="千位分隔" xfId="1" builtinId="3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18</xdr:col>
      <xdr:colOff>246400</xdr:colOff>
      <xdr:row>56</xdr:row>
      <xdr:rowOff>1886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D8FA5AE-A415-F8FE-CC5A-032EF6BFE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0"/>
          <a:ext cx="10000000" cy="10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2B59-25EB-4820-A15C-F8889A8D197C}">
  <dimension ref="A1:K21"/>
  <sheetViews>
    <sheetView topLeftCell="A4" workbookViewId="0">
      <selection activeCell="I12" sqref="I12"/>
    </sheetView>
  </sheetViews>
  <sheetFormatPr defaultRowHeight="14.5" x14ac:dyDescent="0.35"/>
  <cols>
    <col min="1" max="1" width="18.81640625" bestFit="1" customWidth="1"/>
    <col min="2" max="2" width="10.1796875" bestFit="1" customWidth="1"/>
    <col min="3" max="3" width="9.6328125" bestFit="1" customWidth="1"/>
    <col min="7" max="7" width="9.1796875" bestFit="1" customWidth="1"/>
    <col min="8" max="8" width="12.26953125" bestFit="1" customWidth="1"/>
    <col min="9" max="9" width="13.36328125" bestFit="1" customWidth="1"/>
    <col min="10" max="10" width="10.7265625" style="11" bestFit="1" customWidth="1"/>
    <col min="11" max="11" width="9.81640625" bestFit="1" customWidth="1"/>
  </cols>
  <sheetData>
    <row r="1" spans="1:11" x14ac:dyDescent="0.3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35">
      <c r="A2" t="s">
        <v>1</v>
      </c>
      <c r="E2" s="1">
        <v>46023</v>
      </c>
    </row>
    <row r="3" spans="1:11" x14ac:dyDescent="0.35">
      <c r="A3" s="2" t="s">
        <v>2</v>
      </c>
      <c r="B3" s="3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3" t="s">
        <v>11</v>
      </c>
      <c r="K3" s="2" t="s">
        <v>12</v>
      </c>
    </row>
    <row r="4" spans="1:11" x14ac:dyDescent="0.35">
      <c r="A4" s="4" t="s">
        <v>13</v>
      </c>
      <c r="B4" s="5">
        <v>3000</v>
      </c>
      <c r="C4" s="6">
        <v>161.15</v>
      </c>
      <c r="D4" s="6"/>
      <c r="E4" s="6"/>
      <c r="F4" s="6">
        <v>301.69</v>
      </c>
      <c r="G4" s="7">
        <f>B4-C4-F4-E4-D4</f>
        <v>2537.16</v>
      </c>
      <c r="H4" s="6">
        <f>C4</f>
        <v>161.15</v>
      </c>
      <c r="I4" s="6"/>
      <c r="J4" s="5">
        <f>E4*1.4</f>
        <v>0</v>
      </c>
      <c r="K4" s="6">
        <f>F4+C4+D4+E4+H4+I4+J4</f>
        <v>623.99</v>
      </c>
    </row>
    <row r="5" spans="1:11" x14ac:dyDescent="0.35">
      <c r="A5" s="4" t="s">
        <v>14</v>
      </c>
      <c r="B5" s="5">
        <v>1500</v>
      </c>
      <c r="C5" s="6">
        <v>71.900000000000006</v>
      </c>
      <c r="D5" s="6"/>
      <c r="E5" s="6">
        <v>24.45</v>
      </c>
      <c r="F5" s="6"/>
      <c r="G5" s="7">
        <f>B5-C5-F5-E5-D5</f>
        <v>1403.6499999999999</v>
      </c>
      <c r="H5" s="6">
        <f>C5</f>
        <v>71.900000000000006</v>
      </c>
      <c r="I5" s="6"/>
      <c r="J5" s="5">
        <f>E5*1.4</f>
        <v>34.229999999999997</v>
      </c>
      <c r="K5" s="6">
        <f>F5+C5+D5+E5+H5+I5+J5</f>
        <v>202.48</v>
      </c>
    </row>
    <row r="6" spans="1:11" x14ac:dyDescent="0.35">
      <c r="A6" s="4" t="s">
        <v>25</v>
      </c>
      <c r="B6" s="5">
        <v>1140</v>
      </c>
      <c r="C6" s="6">
        <v>50.48</v>
      </c>
      <c r="D6" s="6"/>
      <c r="E6" s="6">
        <v>18.579999999999998</v>
      </c>
      <c r="F6" s="6"/>
      <c r="G6" s="7">
        <f>B6-C6-F6-E6-D6</f>
        <v>1070.94</v>
      </c>
      <c r="H6" s="6">
        <f>C6</f>
        <v>50.48</v>
      </c>
      <c r="I6" s="6"/>
      <c r="J6" s="5">
        <f>E6*1.4</f>
        <v>26.011999999999997</v>
      </c>
      <c r="K6" s="10">
        <f>F6+C6+D6+E6+H6+I6+J6</f>
        <v>145.55199999999999</v>
      </c>
    </row>
    <row r="8" spans="1:11" x14ac:dyDescent="0.35">
      <c r="A8" t="s">
        <v>15</v>
      </c>
    </row>
    <row r="9" spans="1:11" x14ac:dyDescent="0.35">
      <c r="A9" t="s">
        <v>14</v>
      </c>
    </row>
    <row r="10" spans="1:11" x14ac:dyDescent="0.35">
      <c r="A10" t="s">
        <v>16</v>
      </c>
      <c r="B10">
        <v>10.75</v>
      </c>
      <c r="C10" t="s">
        <v>17</v>
      </c>
    </row>
    <row r="11" spans="1:11" x14ac:dyDescent="0.35">
      <c r="A11" t="s">
        <v>30</v>
      </c>
      <c r="B11">
        <v>48</v>
      </c>
      <c r="C11" t="s">
        <v>17</v>
      </c>
      <c r="D11" t="s">
        <v>35</v>
      </c>
    </row>
    <row r="12" spans="1:11" x14ac:dyDescent="0.35">
      <c r="A12" t="s">
        <v>32</v>
      </c>
      <c r="B12">
        <f>SUM(B10:B11)</f>
        <v>58.75</v>
      </c>
      <c r="C12" t="s">
        <v>17</v>
      </c>
      <c r="D12" t="s">
        <v>33</v>
      </c>
    </row>
    <row r="13" spans="1:11" x14ac:dyDescent="0.35">
      <c r="A13" t="s">
        <v>31</v>
      </c>
      <c r="B13">
        <v>10</v>
      </c>
      <c r="C13" t="s">
        <v>19</v>
      </c>
    </row>
    <row r="14" spans="1:11" x14ac:dyDescent="0.35">
      <c r="A14" t="s">
        <v>18</v>
      </c>
      <c r="B14">
        <v>2</v>
      </c>
      <c r="C14" t="s">
        <v>19</v>
      </c>
      <c r="D14" s="15" t="s">
        <v>36</v>
      </c>
    </row>
    <row r="16" spans="1:11" x14ac:dyDescent="0.35">
      <c r="A16" t="s">
        <v>34</v>
      </c>
      <c r="B16" s="8">
        <f>B13-B14</f>
        <v>8</v>
      </c>
      <c r="C16" t="s">
        <v>19</v>
      </c>
    </row>
    <row r="17" spans="1:3" x14ac:dyDescent="0.35">
      <c r="A17" t="s">
        <v>20</v>
      </c>
      <c r="B17">
        <v>0</v>
      </c>
      <c r="C17" t="s">
        <v>19</v>
      </c>
    </row>
    <row r="19" spans="1:3" x14ac:dyDescent="0.35">
      <c r="A19" t="s">
        <v>21</v>
      </c>
      <c r="B19">
        <f>3000/25</f>
        <v>120</v>
      </c>
      <c r="C19" t="s">
        <v>22</v>
      </c>
    </row>
    <row r="20" spans="1:3" x14ac:dyDescent="0.35">
      <c r="A20" t="s">
        <v>23</v>
      </c>
      <c r="B20">
        <v>0</v>
      </c>
      <c r="C20" t="s">
        <v>24</v>
      </c>
    </row>
    <row r="21" spans="1:3" x14ac:dyDescent="0.35">
      <c r="A21" t="s">
        <v>8</v>
      </c>
      <c r="B21" s="9">
        <v>1500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A0F2-658A-4238-B0CE-15B89F738126}">
  <dimension ref="A1:K22"/>
  <sheetViews>
    <sheetView tabSelected="1" workbookViewId="0">
      <selection activeCell="I18" sqref="I18"/>
    </sheetView>
  </sheetViews>
  <sheetFormatPr defaultRowHeight="14.5" x14ac:dyDescent="0.35"/>
  <cols>
    <col min="1" max="1" width="18.81640625" bestFit="1" customWidth="1"/>
    <col min="2" max="2" width="10.1796875" bestFit="1" customWidth="1"/>
    <col min="3" max="3" width="9.6328125" bestFit="1" customWidth="1"/>
    <col min="7" max="7" width="9.1796875" bestFit="1" customWidth="1"/>
    <col min="8" max="8" width="12.26953125" bestFit="1" customWidth="1"/>
    <col min="9" max="9" width="13.36328125" bestFit="1" customWidth="1"/>
    <col min="10" max="10" width="10.7265625" style="11" bestFit="1" customWidth="1"/>
    <col min="11" max="11" width="9.81640625" bestFit="1" customWidth="1"/>
  </cols>
  <sheetData>
    <row r="1" spans="1:11" x14ac:dyDescent="0.3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35">
      <c r="A2" t="s">
        <v>1</v>
      </c>
      <c r="E2" s="1">
        <v>46054</v>
      </c>
    </row>
    <row r="3" spans="1:11" x14ac:dyDescent="0.35">
      <c r="A3" s="2" t="s">
        <v>2</v>
      </c>
      <c r="B3" s="3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3" t="s">
        <v>11</v>
      </c>
      <c r="K3" s="2" t="s">
        <v>12</v>
      </c>
    </row>
    <row r="4" spans="1:11" x14ac:dyDescent="0.35">
      <c r="A4" s="4" t="s">
        <v>13</v>
      </c>
      <c r="B4" s="5">
        <v>3000</v>
      </c>
      <c r="C4" s="6">
        <v>161.15</v>
      </c>
      <c r="D4" s="6"/>
      <c r="E4" s="6"/>
      <c r="F4" s="6">
        <v>301.69</v>
      </c>
      <c r="G4" s="7">
        <f>B4-C4-F4-E4-D4</f>
        <v>2537.16</v>
      </c>
      <c r="H4" s="6">
        <f>C4</f>
        <v>161.15</v>
      </c>
      <c r="I4" s="6"/>
      <c r="J4" s="5">
        <f>E4*1.4</f>
        <v>0</v>
      </c>
      <c r="K4" s="6">
        <f>F4+C4+D4+E4+H4+I4+J4</f>
        <v>623.99</v>
      </c>
    </row>
    <row r="5" spans="1:11" x14ac:dyDescent="0.35">
      <c r="A5" s="4" t="s">
        <v>14</v>
      </c>
      <c r="B5" s="5">
        <v>1500</v>
      </c>
      <c r="C5" s="6">
        <v>71.900000000000006</v>
      </c>
      <c r="D5" s="6"/>
      <c r="E5" s="6">
        <v>24.45</v>
      </c>
      <c r="F5" s="6"/>
      <c r="G5" s="7">
        <f>B5-C5-F5-E5-D5</f>
        <v>1403.6499999999999</v>
      </c>
      <c r="H5" s="6">
        <f>C5</f>
        <v>71.900000000000006</v>
      </c>
      <c r="I5" s="6"/>
      <c r="J5" s="5">
        <f>E5*1.4</f>
        <v>34.229999999999997</v>
      </c>
      <c r="K5" s="6">
        <f>F5+C5+D5+E5+H5+I5+J5</f>
        <v>202.48</v>
      </c>
    </row>
    <row r="6" spans="1:11" x14ac:dyDescent="0.35">
      <c r="A6" s="4" t="s">
        <v>25</v>
      </c>
      <c r="B6" s="5">
        <v>700</v>
      </c>
      <c r="C6" s="6">
        <v>24.3</v>
      </c>
      <c r="D6" s="6"/>
      <c r="E6" s="6">
        <v>11.41</v>
      </c>
      <c r="F6" s="6"/>
      <c r="G6" s="7">
        <f>B6-C6-F6-E6-D6</f>
        <v>664.29000000000008</v>
      </c>
      <c r="H6" s="6">
        <f>C6</f>
        <v>24.3</v>
      </c>
      <c r="I6" s="6"/>
      <c r="J6" s="5">
        <f>E6*1.4</f>
        <v>15.973999999999998</v>
      </c>
      <c r="K6" s="10">
        <f>F6+C6+D6+E6+H6+I6+J6</f>
        <v>75.984000000000009</v>
      </c>
    </row>
    <row r="8" spans="1:11" x14ac:dyDescent="0.35">
      <c r="A8" t="s">
        <v>15</v>
      </c>
    </row>
    <row r="9" spans="1:11" x14ac:dyDescent="0.35">
      <c r="A9" t="s">
        <v>14</v>
      </c>
    </row>
    <row r="10" spans="1:11" x14ac:dyDescent="0.35">
      <c r="A10" t="s">
        <v>16</v>
      </c>
      <c r="B10">
        <v>18.25</v>
      </c>
      <c r="C10" t="s">
        <v>17</v>
      </c>
    </row>
    <row r="11" spans="1:11" x14ac:dyDescent="0.35">
      <c r="A11" t="s">
        <v>30</v>
      </c>
      <c r="B11">
        <f>32+22</f>
        <v>54</v>
      </c>
      <c r="C11" t="s">
        <v>17</v>
      </c>
      <c r="D11" t="s">
        <v>35</v>
      </c>
    </row>
    <row r="12" spans="1:11" x14ac:dyDescent="0.35">
      <c r="A12" t="s">
        <v>32</v>
      </c>
      <c r="B12">
        <f>SUM(B10:B11)</f>
        <v>72.25</v>
      </c>
      <c r="C12" t="s">
        <v>17</v>
      </c>
      <c r="D12" t="s">
        <v>33</v>
      </c>
    </row>
    <row r="13" spans="1:11" x14ac:dyDescent="0.35">
      <c r="A13" t="s">
        <v>37</v>
      </c>
      <c r="B13">
        <f>B12-64</f>
        <v>8.25</v>
      </c>
      <c r="C13" t="s">
        <v>17</v>
      </c>
      <c r="D13" t="s">
        <v>38</v>
      </c>
      <c r="E13">
        <f>B13*96</f>
        <v>792</v>
      </c>
    </row>
    <row r="15" spans="1:11" x14ac:dyDescent="0.35">
      <c r="A15" t="s">
        <v>34</v>
      </c>
      <c r="B15" s="8">
        <v>8</v>
      </c>
      <c r="C15" t="s">
        <v>19</v>
      </c>
    </row>
    <row r="16" spans="1:11" x14ac:dyDescent="0.35">
      <c r="A16" t="s">
        <v>20</v>
      </c>
      <c r="B16">
        <v>0</v>
      </c>
      <c r="C16" t="s">
        <v>19</v>
      </c>
    </row>
    <row r="18" spans="1:3" x14ac:dyDescent="0.35">
      <c r="A18" t="s">
        <v>21</v>
      </c>
      <c r="B18">
        <f>3000/25</f>
        <v>120</v>
      </c>
      <c r="C18" t="s">
        <v>22</v>
      </c>
    </row>
    <row r="19" spans="1:3" x14ac:dyDescent="0.35">
      <c r="A19" t="s">
        <v>23</v>
      </c>
      <c r="B19">
        <v>0</v>
      </c>
      <c r="C19" t="s">
        <v>24</v>
      </c>
    </row>
    <row r="20" spans="1:3" x14ac:dyDescent="0.35">
      <c r="A20" t="s">
        <v>39</v>
      </c>
      <c r="B20" s="17">
        <v>1500</v>
      </c>
    </row>
    <row r="21" spans="1:3" x14ac:dyDescent="0.35">
      <c r="A21" t="s">
        <v>38</v>
      </c>
      <c r="B21">
        <f>E13</f>
        <v>792</v>
      </c>
    </row>
    <row r="22" spans="1:3" x14ac:dyDescent="0.35">
      <c r="A22" t="s">
        <v>8</v>
      </c>
      <c r="B22" s="9">
        <f>B20+B21</f>
        <v>2292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0731C-ADFF-4F15-8A17-A904886B224A}">
  <dimension ref="A1:K20"/>
  <sheetViews>
    <sheetView workbookViewId="0">
      <selection activeCell="D30" sqref="D30"/>
    </sheetView>
  </sheetViews>
  <sheetFormatPr defaultRowHeight="14.5" x14ac:dyDescent="0.35"/>
  <cols>
    <col min="1" max="1" width="14.81640625" bestFit="1" customWidth="1"/>
    <col min="2" max="2" width="10.36328125" bestFit="1" customWidth="1"/>
    <col min="7" max="7" width="9.1796875" bestFit="1" customWidth="1"/>
    <col min="8" max="8" width="12.81640625" bestFit="1" customWidth="1"/>
    <col min="9" max="9" width="13.7265625" bestFit="1" customWidth="1"/>
    <col min="10" max="10" width="12.26953125" bestFit="1" customWidth="1"/>
    <col min="11" max="11" width="10.08984375" bestFit="1" customWidth="1"/>
  </cols>
  <sheetData>
    <row r="1" spans="1:11" x14ac:dyDescent="0.35">
      <c r="B1" t="s">
        <v>26</v>
      </c>
      <c r="C1" t="s">
        <v>17</v>
      </c>
    </row>
    <row r="2" spans="1:11" x14ac:dyDescent="0.35">
      <c r="B2">
        <v>150</v>
      </c>
      <c r="C2">
        <v>4</v>
      </c>
    </row>
    <row r="3" spans="1:11" x14ac:dyDescent="0.35">
      <c r="B3">
        <v>150</v>
      </c>
      <c r="C3">
        <v>4</v>
      </c>
    </row>
    <row r="4" spans="1:11" x14ac:dyDescent="0.35">
      <c r="B4">
        <v>150</v>
      </c>
      <c r="C4">
        <v>4</v>
      </c>
    </row>
    <row r="5" spans="1:11" x14ac:dyDescent="0.35">
      <c r="B5">
        <v>150</v>
      </c>
      <c r="C5">
        <v>4</v>
      </c>
    </row>
    <row r="6" spans="1:11" x14ac:dyDescent="0.35">
      <c r="B6">
        <v>80</v>
      </c>
      <c r="C6">
        <v>2</v>
      </c>
    </row>
    <row r="7" spans="1:11" x14ac:dyDescent="0.35">
      <c r="B7">
        <v>80</v>
      </c>
      <c r="C7">
        <v>2</v>
      </c>
    </row>
    <row r="8" spans="1:11" x14ac:dyDescent="0.35">
      <c r="B8">
        <v>80</v>
      </c>
      <c r="C8">
        <v>2</v>
      </c>
    </row>
    <row r="9" spans="1:11" x14ac:dyDescent="0.35">
      <c r="B9">
        <v>80</v>
      </c>
      <c r="C9">
        <v>2</v>
      </c>
    </row>
    <row r="10" spans="1:11" x14ac:dyDescent="0.35">
      <c r="B10">
        <v>80</v>
      </c>
      <c r="C10">
        <v>2</v>
      </c>
    </row>
    <row r="11" spans="1:11" x14ac:dyDescent="0.35">
      <c r="B11">
        <v>80</v>
      </c>
      <c r="C11">
        <v>2</v>
      </c>
    </row>
    <row r="12" spans="1:11" x14ac:dyDescent="0.35">
      <c r="B12">
        <v>60</v>
      </c>
      <c r="C12">
        <v>0.5</v>
      </c>
    </row>
    <row r="13" spans="1:11" x14ac:dyDescent="0.35">
      <c r="A13" t="s">
        <v>27</v>
      </c>
      <c r="B13">
        <f>SUM(B2:B12)</f>
        <v>1140</v>
      </c>
      <c r="C13">
        <f>SUM(C2:C12)</f>
        <v>28.5</v>
      </c>
    </row>
    <row r="15" spans="1:11" x14ac:dyDescent="0.35">
      <c r="A15" s="2" t="s">
        <v>2</v>
      </c>
      <c r="B15" s="3" t="s">
        <v>3</v>
      </c>
      <c r="C15" s="2" t="s">
        <v>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3" t="s">
        <v>11</v>
      </c>
      <c r="K15" s="2" t="s">
        <v>12</v>
      </c>
    </row>
    <row r="16" spans="1:11" x14ac:dyDescent="0.35">
      <c r="A16" s="4" t="s">
        <v>25</v>
      </c>
      <c r="B16" s="5">
        <v>1140</v>
      </c>
      <c r="C16" s="6">
        <v>50.48</v>
      </c>
      <c r="D16" s="6"/>
      <c r="E16" s="6">
        <v>18.579999999999998</v>
      </c>
      <c r="F16" s="6"/>
      <c r="G16" s="7">
        <f>B16-C16-F16-E16-D16</f>
        <v>1070.94</v>
      </c>
      <c r="H16" s="6">
        <f>C16</f>
        <v>50.48</v>
      </c>
      <c r="I16" s="6"/>
      <c r="J16" s="5">
        <f>E16*1.4</f>
        <v>26.011999999999997</v>
      </c>
      <c r="K16" s="10">
        <f>F16+C16+D16+E16+H16+I16+J16</f>
        <v>145.55199999999999</v>
      </c>
    </row>
    <row r="17" spans="1:10" x14ac:dyDescent="0.35">
      <c r="J17" s="12">
        <f>H16+J16</f>
        <v>76.49199999999999</v>
      </c>
    </row>
    <row r="18" spans="1:10" x14ac:dyDescent="0.35">
      <c r="A18" t="s">
        <v>28</v>
      </c>
      <c r="E18" s="12">
        <f>H16+J16</f>
        <v>76.49199999999999</v>
      </c>
    </row>
    <row r="20" spans="1:10" x14ac:dyDescent="0.35">
      <c r="A20" s="13" t="s">
        <v>29</v>
      </c>
      <c r="B20" s="13"/>
      <c r="C20" s="13"/>
      <c r="D20" s="13"/>
      <c r="E20" s="14">
        <f>G16-E18</f>
        <v>994.44800000000009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387DC-7736-4B2C-8625-CDE705601CDF}">
  <dimension ref="A1:A21"/>
  <sheetViews>
    <sheetView topLeftCell="A7" workbookViewId="0">
      <selection activeCell="A21" sqref="A21"/>
    </sheetView>
  </sheetViews>
  <sheetFormatPr defaultRowHeight="14.5" x14ac:dyDescent="0.35"/>
  <sheetData>
    <row r="1" spans="1:1" x14ac:dyDescent="0.35">
      <c r="A1">
        <v>0.5</v>
      </c>
    </row>
    <row r="2" spans="1:1" x14ac:dyDescent="0.35">
      <c r="A2">
        <v>0.5</v>
      </c>
    </row>
    <row r="3" spans="1:1" x14ac:dyDescent="0.35">
      <c r="A3">
        <v>0.5</v>
      </c>
    </row>
    <row r="4" spans="1:1" x14ac:dyDescent="0.35">
      <c r="A4">
        <v>0.5</v>
      </c>
    </row>
    <row r="5" spans="1:1" x14ac:dyDescent="0.35">
      <c r="A5">
        <v>0.5</v>
      </c>
    </row>
    <row r="6" spans="1:1" x14ac:dyDescent="0.35">
      <c r="A6">
        <v>0.5</v>
      </c>
    </row>
    <row r="7" spans="1:1" x14ac:dyDescent="0.35">
      <c r="A7">
        <v>0.5</v>
      </c>
    </row>
    <row r="8" spans="1:1" x14ac:dyDescent="0.35">
      <c r="A8">
        <v>1</v>
      </c>
    </row>
    <row r="9" spans="1:1" x14ac:dyDescent="0.35">
      <c r="A9">
        <v>0.5</v>
      </c>
    </row>
    <row r="10" spans="1:1" x14ac:dyDescent="0.35">
      <c r="A10">
        <v>0.5</v>
      </c>
    </row>
    <row r="11" spans="1:1" x14ac:dyDescent="0.35">
      <c r="A11">
        <v>0.5</v>
      </c>
    </row>
    <row r="12" spans="1:1" x14ac:dyDescent="0.35">
      <c r="A12">
        <v>0.5</v>
      </c>
    </row>
    <row r="13" spans="1:1" x14ac:dyDescent="0.35">
      <c r="A13">
        <v>0.5</v>
      </c>
    </row>
    <row r="14" spans="1:1" x14ac:dyDescent="0.35">
      <c r="A14">
        <v>0.5</v>
      </c>
    </row>
    <row r="15" spans="1:1" x14ac:dyDescent="0.35">
      <c r="A15">
        <v>0.45</v>
      </c>
    </row>
    <row r="16" spans="1:1" x14ac:dyDescent="0.35">
      <c r="A16">
        <v>0.5</v>
      </c>
    </row>
    <row r="17" spans="1:1" x14ac:dyDescent="0.35">
      <c r="A17">
        <v>0.5</v>
      </c>
    </row>
    <row r="18" spans="1:1" x14ac:dyDescent="0.35">
      <c r="A18">
        <v>0.5</v>
      </c>
    </row>
    <row r="19" spans="1:1" x14ac:dyDescent="0.35">
      <c r="A19">
        <v>0.5</v>
      </c>
    </row>
    <row r="20" spans="1:1" x14ac:dyDescent="0.35">
      <c r="A20">
        <v>0.5</v>
      </c>
    </row>
    <row r="21" spans="1:1" x14ac:dyDescent="0.35">
      <c r="A21">
        <f>SUM(A1:A20)</f>
        <v>10.45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Jan</vt:lpstr>
      <vt:lpstr>Feb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xiaomin shan</dc:creator>
  <cp:lastModifiedBy>xiaomin shan</cp:lastModifiedBy>
  <dcterms:created xsi:type="dcterms:W3CDTF">2026-02-01T21:22:49Z</dcterms:created>
  <dcterms:modified xsi:type="dcterms:W3CDTF">2026-03-02T02:08:55Z</dcterms:modified>
</cp:coreProperties>
</file>