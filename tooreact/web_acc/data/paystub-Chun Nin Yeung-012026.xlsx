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fcw\Documents\Fencing\YJ Fencing\Accounting files\2026\"/>
    </mc:Choice>
  </mc:AlternateContent>
  <xr:revisionPtr revIDLastSave="0" documentId="13_ncr:1_{E0E105BE-A81E-4AC8-8B54-6A6A77DAB7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ystub-QBD Default" sheetId="1" r:id="rId1"/>
  </sheets>
  <definedNames>
    <definedName name="_xlnm.Print_Area" localSheetId="0">'Paystub-QBD Default'!$A$1:$I$61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15" i="1"/>
  <c r="I14" i="1"/>
  <c r="D13" i="1"/>
  <c r="D12" i="1"/>
  <c r="I13" i="1"/>
  <c r="I12" i="1"/>
  <c r="H17" i="1"/>
  <c r="D21" i="1" s="1"/>
  <c r="E16" i="1"/>
  <c r="I17" i="1" l="1"/>
  <c r="D16" i="1"/>
  <c r="D22" i="1" s="1"/>
  <c r="D20" i="1" l="1"/>
</calcChain>
</file>

<file path=xl/sharedStrings.xml><?xml version="1.0" encoding="utf-8"?>
<sst xmlns="http://schemas.openxmlformats.org/spreadsheetml/2006/main" count="41" uniqueCount="37">
  <si>
    <t>Employee Information</t>
  </si>
  <si>
    <t>Pay Information</t>
  </si>
  <si>
    <t>Employee Name</t>
  </si>
  <si>
    <t>Pay Period</t>
  </si>
  <si>
    <t>Employee ID</t>
  </si>
  <si>
    <t>Pay Date</t>
  </si>
  <si>
    <t>Address</t>
  </si>
  <si>
    <t>Pay Frequency</t>
  </si>
  <si>
    <t>Job Title</t>
  </si>
  <si>
    <t>Department</t>
  </si>
  <si>
    <t>EARNINGS</t>
  </si>
  <si>
    <t>DEDUCTIONS</t>
  </si>
  <si>
    <t>Description</t>
  </si>
  <si>
    <t>Hours</t>
  </si>
  <si>
    <t>Rate</t>
  </si>
  <si>
    <t>Current</t>
  </si>
  <si>
    <t>YTD</t>
  </si>
  <si>
    <t>Deduction</t>
  </si>
  <si>
    <t>Regular Pay</t>
  </si>
  <si>
    <t>Federal Tax</t>
  </si>
  <si>
    <t>Provincial Tax</t>
  </si>
  <si>
    <t>Bonus</t>
  </si>
  <si>
    <t>CPP</t>
  </si>
  <si>
    <t>Other</t>
  </si>
  <si>
    <t>EI</t>
  </si>
  <si>
    <t>Total Earnings</t>
  </si>
  <si>
    <t>Total Deductions</t>
  </si>
  <si>
    <t>PAY SUMMARY</t>
  </si>
  <si>
    <t>Gross Pay (Current)</t>
  </si>
  <si>
    <t>Total Deductions (Current)</t>
  </si>
  <si>
    <t>Net Pay (Current)</t>
  </si>
  <si>
    <t>Net Pay (YTD)</t>
  </si>
  <si>
    <t>Monthly</t>
  </si>
  <si>
    <t>16842291 Canada Inc. (O/A YJ Fencing Center)</t>
  </si>
  <si>
    <t>600 Gordon Baker Rd, North York, ON M2H 3B4</t>
  </si>
  <si>
    <t>Chun Nin, Yeung</t>
  </si>
  <si>
    <t>2026-02-01 to 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</si>
</sst>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ECE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164" fontId="1" fillId="0" borderId="1"/>
    <xf numFmtId="165" fontId="1" fillId="0" borderId="1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1" fillId="0" borderId="1" xfId="1"/>
    <xf numFmtId="0" fontId="0" fillId="3" borderId="1" xfId="0" applyFill="1" applyBorder="1"/>
    <xf numFmtId="164" fontId="1" fillId="3" borderId="1" xfId="1" applyFill="1"/>
    <xf numFmtId="0" fontId="3" fillId="0" borderId="1" xfId="0" applyFont="1" applyBorder="1"/>
    <xf numFmtId="43" fontId="0" fillId="0" borderId="1" xfId="3" applyFont="1" applyBorder="1" applyAlignment="1">
      <alignment horizontal="right"/>
    </xf>
    <xf numFmtId="43" fontId="0" fillId="0" borderId="1" xfId="3" applyFont="1" applyBorder="1"/>
    <xf numFmtId="0" fontId="3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0" borderId="1" xfId="1" applyFont="1"/>
  </cellXfs>
  <cellStyles count="4">
    <cellStyle name="currency" xfId="1" xr:uid="{00000000-0005-0000-0000-000001000000}"/>
    <cellStyle name="date" xfId="2" xr:uid="{00000000-0005-0000-0000-000002000000}"/>
    <cellStyle name="千位分隔" xfId="3" builtinId="3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tabSelected="1" workbookViewId="0">
      <pane ySplit="3" topLeftCell="A4" activePane="bottomLeft" state="frozen"/>
      <selection pane="bottomLeft" activeCell="L18" sqref="L18"/>
    </sheetView>
  </sheetViews>
  <sheetFormatPr defaultRowHeight="14.5" x14ac:dyDescent="0.35"/>
  <cols>
    <col min="1" max="1" width="13.26953125" customWidth="1"/>
    <col min="2" max="2" width="10.1796875" customWidth="1"/>
    <col min="3" max="3" width="12" customWidth="1"/>
    <col min="4" max="4" width="11.26953125" customWidth="1"/>
    <col min="5" max="5" width="12" customWidth="1"/>
    <col min="6" max="6" width="2.90625" customWidth="1"/>
    <col min="7" max="7" width="14.81640625" customWidth="1"/>
    <col min="8" max="9" width="12" customWidth="1"/>
  </cols>
  <sheetData>
    <row r="1" spans="1:9" ht="18.5" x14ac:dyDescent="0.35">
      <c r="A1" s="17" t="s">
        <v>33</v>
      </c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9" t="s">
        <v>34</v>
      </c>
      <c r="B2" s="18"/>
      <c r="C2" s="18"/>
      <c r="D2" s="18"/>
      <c r="E2" s="18"/>
      <c r="F2" s="18"/>
      <c r="G2" s="18"/>
      <c r="H2" s="18"/>
      <c r="I2" s="18"/>
    </row>
    <row r="3" spans="1:9" x14ac:dyDescent="0.35">
      <c r="A3" s="1"/>
    </row>
    <row r="4" spans="1:9" x14ac:dyDescent="0.35">
      <c r="A4" s="20" t="s">
        <v>0</v>
      </c>
      <c r="B4" s="12"/>
      <c r="C4" s="12"/>
      <c r="D4" s="12"/>
      <c r="E4" s="20" t="s">
        <v>1</v>
      </c>
      <c r="F4" s="20"/>
      <c r="G4" s="12"/>
      <c r="H4" s="12"/>
      <c r="I4" s="12"/>
    </row>
    <row r="5" spans="1:9" x14ac:dyDescent="0.35">
      <c r="A5" s="14" t="s">
        <v>2</v>
      </c>
      <c r="B5" s="12"/>
      <c r="C5" s="12" t="s">
        <v>35</v>
      </c>
      <c r="D5" s="12"/>
      <c r="E5" s="11" t="s">
        <v>3</v>
      </c>
      <c r="F5" s="11"/>
      <c r="G5" s="12"/>
      <c r="H5" s="15" t="s">
        <v>36</v>
      </c>
      <c r="I5" s="12"/>
    </row>
    <row r="6" spans="1:9" x14ac:dyDescent="0.35">
      <c r="A6" s="14" t="s">
        <v>4</v>
      </c>
      <c r="B6" s="12"/>
      <c r="C6" s="12"/>
      <c r="D6" s="12"/>
      <c r="E6" s="11" t="s">
        <v>5</v>
      </c>
      <c r="F6" s="11"/>
      <c r="G6" s="12"/>
      <c r="H6" s="16">
        <v>46082</v>
      </c>
      <c r="I6" s="12"/>
    </row>
    <row r="7" spans="1:9" x14ac:dyDescent="0.35">
      <c r="A7" s="14" t="s">
        <v>6</v>
      </c>
      <c r="B7" s="12"/>
      <c r="C7" s="12"/>
      <c r="D7" s="12"/>
      <c r="E7" s="11" t="s">
        <v>7</v>
      </c>
      <c r="F7" s="11"/>
      <c r="G7" s="12"/>
      <c r="H7" s="15" t="s">
        <v>32</v>
      </c>
      <c r="I7" s="12"/>
    </row>
    <row r="8" spans="1:9" x14ac:dyDescent="0.35">
      <c r="A8" s="14" t="s">
        <v>8</v>
      </c>
      <c r="B8" s="12"/>
      <c r="C8" s="12"/>
      <c r="D8" s="12"/>
      <c r="E8" s="11" t="s">
        <v>9</v>
      </c>
      <c r="F8" s="11"/>
      <c r="G8" s="12"/>
      <c r="H8" s="15"/>
      <c r="I8" s="12"/>
    </row>
    <row r="10" spans="1:9" x14ac:dyDescent="0.35">
      <c r="A10" s="13" t="s">
        <v>10</v>
      </c>
      <c r="B10" s="12"/>
      <c r="C10" s="12"/>
      <c r="D10" s="12"/>
      <c r="E10" s="12"/>
      <c r="F10" s="2"/>
      <c r="G10" s="13" t="s">
        <v>11</v>
      </c>
      <c r="H10" s="12"/>
      <c r="I10" s="12"/>
    </row>
    <row r="11" spans="1:9" x14ac:dyDescent="0.35">
      <c r="A11" s="3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/>
      <c r="G11" s="3" t="s">
        <v>17</v>
      </c>
      <c r="H11" s="4" t="s">
        <v>15</v>
      </c>
      <c r="I11" s="4" t="s">
        <v>16</v>
      </c>
    </row>
    <row r="12" spans="1:9" x14ac:dyDescent="0.35">
      <c r="A12" s="2" t="s">
        <v>18</v>
      </c>
      <c r="B12" s="2">
        <v>16</v>
      </c>
      <c r="C12" s="5">
        <v>40</v>
      </c>
      <c r="D12" s="10">
        <f>B12*C12</f>
        <v>640</v>
      </c>
      <c r="E12" s="10">
        <v>1840</v>
      </c>
      <c r="F12" s="9"/>
      <c r="G12" s="2" t="s">
        <v>19</v>
      </c>
      <c r="H12" s="5">
        <v>0</v>
      </c>
      <c r="I12" s="5">
        <f>H12</f>
        <v>0</v>
      </c>
    </row>
    <row r="13" spans="1:9" x14ac:dyDescent="0.35">
      <c r="A13" s="2" t="s">
        <v>18</v>
      </c>
      <c r="B13" s="6">
        <v>0.5</v>
      </c>
      <c r="C13" s="7">
        <v>120</v>
      </c>
      <c r="D13" s="10">
        <f>B13*C13</f>
        <v>60</v>
      </c>
      <c r="E13" s="7"/>
      <c r="F13" s="7"/>
      <c r="G13" s="6" t="s">
        <v>20</v>
      </c>
      <c r="H13" s="7">
        <v>0</v>
      </c>
      <c r="I13" s="7">
        <f>H13</f>
        <v>0</v>
      </c>
    </row>
    <row r="14" spans="1:9" x14ac:dyDescent="0.35">
      <c r="A14" s="2" t="s">
        <v>21</v>
      </c>
      <c r="B14" s="2"/>
      <c r="C14" s="5"/>
      <c r="D14" s="5"/>
      <c r="E14" s="5"/>
      <c r="F14" s="5"/>
      <c r="G14" s="2" t="s">
        <v>22</v>
      </c>
      <c r="H14" s="5">
        <v>24.3</v>
      </c>
      <c r="I14" s="5">
        <f>50.48+24.3</f>
        <v>74.78</v>
      </c>
    </row>
    <row r="15" spans="1:9" x14ac:dyDescent="0.35">
      <c r="A15" s="6" t="s">
        <v>23</v>
      </c>
      <c r="B15" s="6"/>
      <c r="C15" s="7"/>
      <c r="D15" s="7"/>
      <c r="E15" s="7"/>
      <c r="F15" s="7"/>
      <c r="G15" s="6" t="s">
        <v>24</v>
      </c>
      <c r="H15" s="7">
        <v>11.41</v>
      </c>
      <c r="I15" s="7">
        <f>18.58+11.41</f>
        <v>29.99</v>
      </c>
    </row>
    <row r="16" spans="1:9" x14ac:dyDescent="0.35">
      <c r="A16" s="8" t="s">
        <v>25</v>
      </c>
      <c r="B16" s="2"/>
      <c r="C16" s="2"/>
      <c r="D16" s="5">
        <f>SUM(D12:D15)</f>
        <v>700</v>
      </c>
      <c r="E16" s="5">
        <f>SUM(E12:E15)</f>
        <v>1840</v>
      </c>
      <c r="F16" s="5"/>
      <c r="G16" s="2" t="s">
        <v>23</v>
      </c>
      <c r="H16" s="5">
        <v>0</v>
      </c>
      <c r="I16" s="5">
        <v>0</v>
      </c>
    </row>
    <row r="17" spans="1:9" x14ac:dyDescent="0.35">
      <c r="A17" s="2"/>
      <c r="B17" s="2"/>
      <c r="C17" s="2"/>
      <c r="D17" s="2"/>
      <c r="E17" s="2"/>
      <c r="F17" s="2"/>
      <c r="G17" s="8" t="s">
        <v>26</v>
      </c>
      <c r="H17" s="5">
        <f>SUM(H12:H16)</f>
        <v>35.71</v>
      </c>
      <c r="I17" s="2">
        <f>SUM(I12:I16)</f>
        <v>104.77</v>
      </c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13" t="s">
        <v>27</v>
      </c>
      <c r="B19" s="12"/>
      <c r="C19" s="12"/>
      <c r="D19" s="12"/>
      <c r="E19" s="12"/>
      <c r="F19" s="12"/>
      <c r="G19" s="12"/>
      <c r="H19" s="12"/>
      <c r="I19" s="12"/>
    </row>
    <row r="20" spans="1:9" x14ac:dyDescent="0.35">
      <c r="A20" s="11" t="s">
        <v>28</v>
      </c>
      <c r="B20" s="12"/>
      <c r="C20" s="12"/>
      <c r="D20" s="5">
        <f>D16</f>
        <v>700</v>
      </c>
      <c r="E20" s="2"/>
      <c r="F20" s="2"/>
      <c r="G20" s="2"/>
      <c r="H20" s="2"/>
      <c r="I20" s="2"/>
    </row>
    <row r="21" spans="1:9" x14ac:dyDescent="0.35">
      <c r="A21" s="11" t="s">
        <v>29</v>
      </c>
      <c r="B21" s="12"/>
      <c r="C21" s="12"/>
      <c r="D21" s="5">
        <f>H17</f>
        <v>35.71</v>
      </c>
      <c r="E21" s="2"/>
      <c r="F21" s="2"/>
      <c r="G21" s="2"/>
      <c r="H21" s="2"/>
      <c r="I21" s="2"/>
    </row>
    <row r="22" spans="1:9" x14ac:dyDescent="0.35">
      <c r="A22" s="11" t="s">
        <v>30</v>
      </c>
      <c r="B22" s="12"/>
      <c r="C22" s="12"/>
      <c r="D22" s="21">
        <f>D16-H17</f>
        <v>664.29</v>
      </c>
      <c r="E22" s="2"/>
      <c r="F22" s="2"/>
      <c r="G22" s="2"/>
      <c r="H22" s="2"/>
      <c r="I22" s="2"/>
    </row>
    <row r="23" spans="1:9" x14ac:dyDescent="0.35">
      <c r="A23" s="11" t="s">
        <v>31</v>
      </c>
      <c r="B23" s="12"/>
      <c r="C23" s="12"/>
      <c r="D23" s="2"/>
      <c r="E23" s="2"/>
      <c r="F23" s="2"/>
      <c r="G23" s="2"/>
      <c r="H23" s="2"/>
      <c r="I23" s="5">
        <f>1070.97+664.29</f>
        <v>1735.26</v>
      </c>
    </row>
  </sheetData>
  <mergeCells count="27">
    <mergeCell ref="A1:I1"/>
    <mergeCell ref="A2:I2"/>
    <mergeCell ref="A4:D4"/>
    <mergeCell ref="E4:I4"/>
    <mergeCell ref="A5:B5"/>
    <mergeCell ref="C5:D5"/>
    <mergeCell ref="E5:G5"/>
    <mergeCell ref="H5:I5"/>
    <mergeCell ref="A6:B6"/>
    <mergeCell ref="C6:D6"/>
    <mergeCell ref="E6:G6"/>
    <mergeCell ref="H6:I6"/>
    <mergeCell ref="A7:B7"/>
    <mergeCell ref="C7:D7"/>
    <mergeCell ref="E7:G7"/>
    <mergeCell ref="H7:I7"/>
    <mergeCell ref="A8:B8"/>
    <mergeCell ref="C8:D8"/>
    <mergeCell ref="E8:G8"/>
    <mergeCell ref="H8:I8"/>
    <mergeCell ref="A22:C22"/>
    <mergeCell ref="A23:C23"/>
    <mergeCell ref="A10:E10"/>
    <mergeCell ref="G10:I10"/>
    <mergeCell ref="A19:I19"/>
    <mergeCell ref="A20:C20"/>
    <mergeCell ref="A21:C21"/>
  </mergeCells>
  <pageMargins left="0.5" right="0.5" top="0.6" bottom="0.6" header="0.3" footer="0.3"/>
  <pageSetup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Paystub-QBD Default</vt:lpstr>
      <vt:lpstr>'Paystub-QBD Default'!Print_Area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xiaomin shan</cp:lastModifiedBy>
  <cp:lastPrinted>2026-03-02T02:14:57Z</cp:lastPrinted>
  <dcterms:created xsi:type="dcterms:W3CDTF">2025-10-13T21:51:18Z</dcterms:created>
  <dcterms:modified xsi:type="dcterms:W3CDTF">2026-03-02T02:15:16Z</dcterms:modified>
</cp:coreProperties>
</file>